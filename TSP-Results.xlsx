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ku365-my.sharepoint.com/personal/ameer_mohammed_ku_edu_kw/Documents/Research Publications/2026 - Hybrid Q-learning for TSP/"/>
    </mc:Choice>
  </mc:AlternateContent>
  <xr:revisionPtr revIDLastSave="153" documentId="13_ncr:1_{A8FF6CAB-5EC0-4EB6-B634-93FB4385BB0C}" xr6:coauthVersionLast="47" xr6:coauthVersionMax="47" xr10:uidLastSave="{F6B5EB92-FB4B-481D-99EB-EFC89A6FBA4D}"/>
  <bookViews>
    <workbookView xWindow="-110" yWindow="-110" windowWidth="24220" windowHeight="15500" xr2:uid="{58A75979-9454-46A3-9E9F-E737B8547704}"/>
  </bookViews>
  <sheets>
    <sheet name="Detailed_Run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313" i="1" a="1"/>
  <c r="C265" i="1" a="1"/>
  <c r="B121" i="1" a="1"/>
  <c r="C289" i="1" a="1"/>
  <c r="B433" i="1" a="1"/>
  <c r="C409" i="1" a="1"/>
  <c r="C217" i="1" a="1"/>
  <c r="C433" i="1" a="1"/>
  <c r="B265" i="1" a="1"/>
  <c r="B169" i="1" a="1"/>
  <c r="C145" i="1" a="1"/>
  <c r="B49" i="1" a="1"/>
  <c r="C25" i="1" a="1"/>
  <c r="C481" i="1" a="1"/>
  <c r="B193" i="1" a="1"/>
  <c r="C241" i="1" a="1"/>
  <c r="B289" i="1" a="1"/>
  <c r="B361" i="1" a="1"/>
  <c r="C73" i="1" a="1"/>
  <c r="B145" i="1" a="1"/>
  <c r="B409" i="1" a="1"/>
  <c r="C385" i="1" a="1"/>
  <c r="C457" i="1" a="1"/>
  <c r="C49" i="1" a="1"/>
  <c r="B97" i="1" a="1"/>
  <c r="C361" i="1" a="1"/>
  <c r="C169" i="1" a="1"/>
  <c r="B457" i="1" a="1"/>
  <c r="B481" i="1" a="1"/>
  <c r="B337" i="1" a="1"/>
  <c r="B313" i="1" a="1"/>
  <c r="B217" i="1" a="1"/>
  <c r="C193" i="1" a="1"/>
  <c r="C337" i="1" a="1"/>
  <c r="B25" i="1" a="1"/>
  <c r="B385" i="1" a="1"/>
  <c r="C121" i="1" a="1"/>
  <c r="C97" i="1" a="1"/>
  <c r="B73" i="1" a="1"/>
  <c r="B241" i="1" a="1"/>
  <c r="C265" i="1" l="1"/>
  <c r="C25" i="1"/>
  <c r="B25" i="1"/>
  <c r="B481" i="1"/>
  <c r="C481" i="1"/>
  <c r="B457" i="1"/>
  <c r="C457" i="1"/>
  <c r="C433" i="1"/>
  <c r="B433" i="1"/>
  <c r="C409" i="1"/>
  <c r="B409" i="1"/>
  <c r="B385" i="1"/>
  <c r="C385" i="1"/>
  <c r="B361" i="1"/>
  <c r="C361" i="1"/>
  <c r="C337" i="1"/>
  <c r="B337" i="1"/>
  <c r="C313" i="1"/>
  <c r="B313" i="1"/>
  <c r="C289" i="1"/>
  <c r="B289" i="1"/>
  <c r="B265" i="1"/>
  <c r="B241" i="1"/>
  <c r="C241" i="1"/>
  <c r="C217" i="1"/>
  <c r="B217" i="1"/>
  <c r="B193" i="1"/>
  <c r="C193" i="1"/>
  <c r="B169" i="1"/>
  <c r="C169" i="1"/>
  <c r="C145" i="1"/>
  <c r="B145" i="1"/>
  <c r="B121" i="1"/>
  <c r="C121" i="1"/>
  <c r="B97" i="1"/>
  <c r="C97" i="1"/>
  <c r="C73" i="1"/>
  <c r="B73" i="1"/>
  <c r="B49" i="1"/>
  <c r="C49" i="1"/>
  <c r="Z4" i="1" l="1"/>
  <c r="AH4" i="1"/>
  <c r="AD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E10" i="1"/>
  <c r="AD10" i="1"/>
  <c r="AE9" i="1"/>
  <c r="AD9" i="1"/>
  <c r="AE8" i="1"/>
  <c r="AD8" i="1"/>
  <c r="AE7" i="1"/>
  <c r="AD7" i="1"/>
  <c r="AE6" i="1"/>
  <c r="AD6" i="1"/>
  <c r="AE5" i="1"/>
  <c r="AD5" i="1"/>
  <c r="AE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AI7" i="1"/>
  <c r="AH7" i="1"/>
  <c r="AI6" i="1"/>
  <c r="AH6" i="1"/>
  <c r="AI5" i="1"/>
  <c r="AH5" i="1"/>
  <c r="AI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V24" i="1"/>
  <c r="W24" i="1"/>
  <c r="W480" i="1"/>
  <c r="V480" i="1"/>
  <c r="S480" i="1"/>
  <c r="R480" i="1"/>
  <c r="O480" i="1"/>
  <c r="N480" i="1"/>
  <c r="K480" i="1"/>
  <c r="J480" i="1"/>
  <c r="G480" i="1"/>
  <c r="F480" i="1"/>
  <c r="C480" i="1"/>
  <c r="B480" i="1"/>
  <c r="W456" i="1"/>
  <c r="V456" i="1"/>
  <c r="S456" i="1"/>
  <c r="R456" i="1"/>
  <c r="O456" i="1"/>
  <c r="N456" i="1"/>
  <c r="K456" i="1"/>
  <c r="J456" i="1"/>
  <c r="G456" i="1"/>
  <c r="F456" i="1"/>
  <c r="C456" i="1"/>
  <c r="B456" i="1"/>
  <c r="W432" i="1"/>
  <c r="V432" i="1"/>
  <c r="S432" i="1"/>
  <c r="R432" i="1"/>
  <c r="O432" i="1"/>
  <c r="N432" i="1"/>
  <c r="K432" i="1"/>
  <c r="J432" i="1"/>
  <c r="G432" i="1"/>
  <c r="F432" i="1"/>
  <c r="C432" i="1"/>
  <c r="B432" i="1"/>
  <c r="W408" i="1"/>
  <c r="V408" i="1"/>
  <c r="S408" i="1"/>
  <c r="R408" i="1"/>
  <c r="O408" i="1"/>
  <c r="N408" i="1"/>
  <c r="K408" i="1"/>
  <c r="J408" i="1"/>
  <c r="G408" i="1"/>
  <c r="F408" i="1"/>
  <c r="C408" i="1"/>
  <c r="B408" i="1"/>
  <c r="W384" i="1"/>
  <c r="V384" i="1"/>
  <c r="S384" i="1"/>
  <c r="R384" i="1"/>
  <c r="O384" i="1"/>
  <c r="N384" i="1"/>
  <c r="K384" i="1"/>
  <c r="J384" i="1"/>
  <c r="G384" i="1"/>
  <c r="F384" i="1"/>
  <c r="C384" i="1"/>
  <c r="B384" i="1"/>
  <c r="B360" i="1"/>
  <c r="C360" i="1"/>
  <c r="F360" i="1"/>
  <c r="G360" i="1"/>
  <c r="W360" i="1"/>
  <c r="V360" i="1"/>
  <c r="S360" i="1"/>
  <c r="R360" i="1"/>
  <c r="O360" i="1"/>
  <c r="N360" i="1"/>
  <c r="K360" i="1"/>
  <c r="J360" i="1"/>
  <c r="W336" i="1"/>
  <c r="V336" i="1"/>
  <c r="W312" i="1"/>
  <c r="V312" i="1"/>
  <c r="W288" i="1"/>
  <c r="V288" i="1"/>
  <c r="W264" i="1"/>
  <c r="V264" i="1"/>
  <c r="W240" i="1"/>
  <c r="V240" i="1"/>
  <c r="W216" i="1"/>
  <c r="V216" i="1"/>
  <c r="W192" i="1"/>
  <c r="V192" i="1"/>
  <c r="W168" i="1"/>
  <c r="V168" i="1"/>
  <c r="W144" i="1"/>
  <c r="V144" i="1"/>
  <c r="W120" i="1"/>
  <c r="V120" i="1"/>
  <c r="W96" i="1"/>
  <c r="V96" i="1"/>
  <c r="W72" i="1"/>
  <c r="V72" i="1"/>
  <c r="W48" i="1"/>
  <c r="V48" i="1"/>
  <c r="S336" i="1"/>
  <c r="R336" i="1"/>
  <c r="S312" i="1"/>
  <c r="R312" i="1"/>
  <c r="S288" i="1"/>
  <c r="R288" i="1"/>
  <c r="S264" i="1"/>
  <c r="R264" i="1"/>
  <c r="S240" i="1"/>
  <c r="R240" i="1"/>
  <c r="S216" i="1"/>
  <c r="R216" i="1"/>
  <c r="S192" i="1"/>
  <c r="R192" i="1"/>
  <c r="S168" i="1"/>
  <c r="R168" i="1"/>
  <c r="S144" i="1"/>
  <c r="R144" i="1"/>
  <c r="S120" i="1"/>
  <c r="R120" i="1"/>
  <c r="S96" i="1"/>
  <c r="R96" i="1"/>
  <c r="S72" i="1"/>
  <c r="R72" i="1"/>
  <c r="S48" i="1"/>
  <c r="R48" i="1"/>
  <c r="S24" i="1"/>
  <c r="R24" i="1"/>
  <c r="O336" i="1"/>
  <c r="N336" i="1"/>
  <c r="O312" i="1"/>
  <c r="N312" i="1"/>
  <c r="O288" i="1"/>
  <c r="N288" i="1"/>
  <c r="O264" i="1"/>
  <c r="N264" i="1"/>
  <c r="O240" i="1"/>
  <c r="N240" i="1"/>
  <c r="O216" i="1"/>
  <c r="N216" i="1"/>
  <c r="O192" i="1"/>
  <c r="N192" i="1"/>
  <c r="O168" i="1"/>
  <c r="N168" i="1"/>
  <c r="O144" i="1"/>
  <c r="N144" i="1"/>
  <c r="O120" i="1"/>
  <c r="N120" i="1"/>
  <c r="O96" i="1"/>
  <c r="N96" i="1"/>
  <c r="O72" i="1"/>
  <c r="N72" i="1"/>
  <c r="O48" i="1"/>
  <c r="N48" i="1"/>
  <c r="O24" i="1"/>
  <c r="N24" i="1"/>
  <c r="K336" i="1"/>
  <c r="J336" i="1"/>
  <c r="K312" i="1"/>
  <c r="J312" i="1"/>
  <c r="K288" i="1"/>
  <c r="J288" i="1"/>
  <c r="K264" i="1"/>
  <c r="J264" i="1"/>
  <c r="K240" i="1"/>
  <c r="J240" i="1"/>
  <c r="K216" i="1"/>
  <c r="J216" i="1"/>
  <c r="K192" i="1"/>
  <c r="J192" i="1"/>
  <c r="K168" i="1"/>
  <c r="J168" i="1"/>
  <c r="K144" i="1"/>
  <c r="J144" i="1"/>
  <c r="K120" i="1"/>
  <c r="J120" i="1"/>
  <c r="K96" i="1"/>
  <c r="J96" i="1"/>
  <c r="K72" i="1"/>
  <c r="J72" i="1"/>
  <c r="K48" i="1"/>
  <c r="J48" i="1"/>
  <c r="K24" i="1"/>
  <c r="J24" i="1"/>
  <c r="G336" i="1"/>
  <c r="F336" i="1"/>
  <c r="C336" i="1"/>
  <c r="B336" i="1"/>
  <c r="G312" i="1"/>
  <c r="F312" i="1"/>
  <c r="C312" i="1"/>
  <c r="B312" i="1"/>
  <c r="G288" i="1"/>
  <c r="F288" i="1"/>
  <c r="C288" i="1"/>
  <c r="B288" i="1"/>
  <c r="G264" i="1"/>
  <c r="F264" i="1"/>
  <c r="C264" i="1"/>
  <c r="B264" i="1"/>
  <c r="G240" i="1"/>
  <c r="F240" i="1"/>
  <c r="C240" i="1"/>
  <c r="B240" i="1"/>
  <c r="G216" i="1"/>
  <c r="F216" i="1"/>
  <c r="C216" i="1"/>
  <c r="B216" i="1"/>
  <c r="G192" i="1"/>
  <c r="F192" i="1"/>
  <c r="C192" i="1"/>
  <c r="B192" i="1"/>
  <c r="G168" i="1"/>
  <c r="F168" i="1"/>
  <c r="C168" i="1"/>
  <c r="B168" i="1"/>
  <c r="G144" i="1"/>
  <c r="F144" i="1"/>
  <c r="C144" i="1"/>
  <c r="B144" i="1"/>
  <c r="G120" i="1"/>
  <c r="F120" i="1"/>
  <c r="C120" i="1"/>
  <c r="B120" i="1"/>
  <c r="G96" i="1"/>
  <c r="F96" i="1"/>
  <c r="C96" i="1"/>
  <c r="B96" i="1"/>
  <c r="G72" i="1"/>
  <c r="F72" i="1"/>
  <c r="C72" i="1"/>
  <c r="B72" i="1"/>
  <c r="G48" i="1"/>
  <c r="C48" i="1"/>
  <c r="F48" i="1"/>
  <c r="B48" i="1"/>
  <c r="G24" i="1"/>
  <c r="F24" i="1"/>
  <c r="B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<sst xmlns="http://schemas.openxmlformats.org/spreadsheetml/2006/main" count="664" uniqueCount="37">
  <si>
    <t>Eil51</t>
  </si>
  <si>
    <t>Eil76</t>
  </si>
  <si>
    <t>Pr76</t>
  </si>
  <si>
    <t>Rd100</t>
  </si>
  <si>
    <t>Eil101</t>
  </si>
  <si>
    <t>Lin105</t>
  </si>
  <si>
    <t>Pr107</t>
  </si>
  <si>
    <t>Pr124</t>
  </si>
  <si>
    <t>Bier127</t>
  </si>
  <si>
    <t>Ch130</t>
  </si>
  <si>
    <t>Pr144</t>
  </si>
  <si>
    <t>Ch150</t>
  </si>
  <si>
    <t>Pr152</t>
  </si>
  <si>
    <t>Pr226</t>
  </si>
  <si>
    <t>Full Algorithm: Path Length &amp; Time, Total Runs = 20</t>
  </si>
  <si>
    <t>trial</t>
  </si>
  <si>
    <t>cost_path_length</t>
  </si>
  <si>
    <t>time_seconds</t>
  </si>
  <si>
    <t>ACO+OPT: Path Length &amp; Time, Total Runs = 20</t>
  </si>
  <si>
    <t>Avg</t>
  </si>
  <si>
    <t>ACO+Qlearning: Path Length &amp; Time, Total Runs = 20</t>
  </si>
  <si>
    <t>Qlearning+OPT: Path Length &amp; Time, Total Runs = 20</t>
  </si>
  <si>
    <t>ACO Only: Path Length &amp; Time, Total Runs = 20</t>
  </si>
  <si>
    <t>Qlearning Only: Path Length &amp; Time, Total Runs = 20</t>
  </si>
  <si>
    <t>gr137</t>
  </si>
  <si>
    <t>st70</t>
  </si>
  <si>
    <t>u159</t>
  </si>
  <si>
    <t>att48</t>
  </si>
  <si>
    <t>gr96</t>
  </si>
  <si>
    <t>rat99</t>
  </si>
  <si>
    <t>Full Algorithm (Median)</t>
  </si>
  <si>
    <t>ACO+OPT (Median)</t>
  </si>
  <si>
    <t>ACO+Qlearning (Median)</t>
  </si>
  <si>
    <t>Qlearning + OPT (Median)</t>
  </si>
  <si>
    <t>Qlearning Only (Median)</t>
  </si>
  <si>
    <t>ACO Only (Median)</t>
  </si>
  <si>
    <t>SignTest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</si>
</sst>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1" applyFont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r_\AppData\Roaming\Microsoft\AddIns\XRealStatsX.xlam" TargetMode="External"/><Relationship Id="rId1" Type="http://schemas.openxmlformats.org/officeDocument/2006/relationships/externalLinkPath" Target="file:///C:\Users\amir_\AppData\Roaming\Microsoft\AddIns\XRealStatsX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  <sheetName val="Roy"/>
      <sheetName val="Pillai"/>
      <sheetName val="Wilk"/>
      <sheetName val="Hotel"/>
    </sheetNames>
    <definedNames>
      <definedName name="Sign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0A2D-D415-489D-A4B1-0D37736B2BF8}">
  <dimension ref="A1:AU481"/>
  <sheetViews>
    <sheetView tabSelected="1" topLeftCell="V1" zoomScale="115" zoomScaleNormal="115" workbookViewId="0">
      <selection activeCell="AA28" sqref="AA28"/>
    </sheetView>
  </sheetViews>
  <sheetFormatPr defaultColWidth="16.81640625" defaultRowHeight="14.5" x14ac:dyDescent="0.35"/>
  <cols>
    <col min="1" max="2" width="16.81640625" style="2"/>
    <col min="3" max="3" width="44" style="2" customWidth="1"/>
    <col min="4" max="5" width="16.81640625" style="2"/>
    <col min="6" max="6" width="24.26953125" style="2" customWidth="1"/>
    <col min="7" max="7" width="40.26953125" style="2" customWidth="1"/>
    <col min="8" max="8" width="20.90625" style="2" customWidth="1"/>
    <col min="9" max="9" width="16.81640625" style="2"/>
    <col min="10" max="10" width="24.26953125" style="2" customWidth="1"/>
    <col min="11" max="11" width="40.26953125" style="2" customWidth="1"/>
    <col min="12" max="12" width="13.36328125" style="2" customWidth="1"/>
    <col min="13" max="13" width="16.81640625" style="2"/>
    <col min="14" max="14" width="24.26953125" style="2" customWidth="1"/>
    <col min="15" max="15" width="40.26953125" style="2" customWidth="1"/>
    <col min="16" max="16" width="7.08984375" style="2" customWidth="1"/>
    <col min="17" max="17" width="16.7265625" style="2" customWidth="1"/>
    <col min="18" max="18" width="24.26953125" style="2" customWidth="1"/>
    <col min="19" max="19" width="40.26953125" style="2" customWidth="1"/>
    <col min="20" max="20" width="11.7265625" style="2" customWidth="1"/>
    <col min="21" max="21" width="16.7265625" style="2" customWidth="1"/>
    <col min="22" max="22" width="24.26953125" style="2" customWidth="1"/>
    <col min="23" max="23" width="40.26953125" style="2" customWidth="1"/>
    <col min="24" max="24" width="10.08984375" style="2" customWidth="1"/>
    <col min="25" max="25" width="16.81640625" style="2"/>
    <col min="26" max="27" width="29.36328125" style="2" customWidth="1"/>
    <col min="28" max="28" width="5.26953125" style="2" customWidth="1"/>
    <col min="29" max="30" width="16.81640625" style="2"/>
    <col min="31" max="32" width="18" style="2" customWidth="1"/>
    <col min="33" max="16384" width="16.81640625" style="2"/>
  </cols>
  <sheetData>
    <row r="1" spans="1:47" ht="24.5" thickTop="1" thickBot="1" x14ac:dyDescent="0.6">
      <c r="A1" s="11" t="s">
        <v>14</v>
      </c>
      <c r="B1" s="11"/>
      <c r="C1" s="11"/>
      <c r="E1" s="11" t="s">
        <v>18</v>
      </c>
      <c r="F1" s="11"/>
      <c r="G1" s="11"/>
      <c r="H1"/>
      <c r="I1" s="11" t="s">
        <v>20</v>
      </c>
      <c r="J1" s="11"/>
      <c r="K1" s="11"/>
      <c r="L1"/>
      <c r="M1" s="11" t="s">
        <v>21</v>
      </c>
      <c r="N1" s="11"/>
      <c r="O1" s="11"/>
      <c r="P1"/>
      <c r="Q1" s="11" t="s">
        <v>23</v>
      </c>
      <c r="R1" s="11"/>
      <c r="S1" s="11"/>
      <c r="T1"/>
      <c r="U1" s="11" t="s">
        <v>22</v>
      </c>
      <c r="V1" s="11"/>
      <c r="W1" s="11"/>
      <c r="X1"/>
      <c r="Y1" s="6" t="s">
        <v>30</v>
      </c>
      <c r="Z1" s="6"/>
      <c r="AA1" s="6"/>
      <c r="AC1" s="6" t="s">
        <v>32</v>
      </c>
      <c r="AD1" s="6"/>
      <c r="AE1" s="6"/>
      <c r="AF1" s="5"/>
      <c r="AG1" s="6" t="s">
        <v>31</v>
      </c>
      <c r="AH1" s="6"/>
      <c r="AI1" s="6"/>
      <c r="AJ1" s="5"/>
      <c r="AK1" s="6" t="s">
        <v>33</v>
      </c>
      <c r="AL1" s="6"/>
      <c r="AM1" s="6"/>
      <c r="AN1" s="5"/>
      <c r="AO1" s="7" t="s">
        <v>34</v>
      </c>
      <c r="AP1" s="8"/>
      <c r="AQ1" s="9"/>
      <c r="AR1" s="5"/>
      <c r="AS1" s="7" t="s">
        <v>35</v>
      </c>
      <c r="AT1" s="8"/>
      <c r="AU1" s="9"/>
    </row>
    <row r="2" spans="1:47" ht="21.5" thickTop="1" x14ac:dyDescent="0.5">
      <c r="A2" s="10" t="s">
        <v>0</v>
      </c>
      <c r="B2" s="10"/>
      <c r="C2" s="10"/>
      <c r="E2" s="10" t="s">
        <v>0</v>
      </c>
      <c r="F2" s="10"/>
      <c r="G2" s="10"/>
      <c r="H2" s="1"/>
      <c r="I2" s="10" t="s">
        <v>0</v>
      </c>
      <c r="J2" s="10"/>
      <c r="K2" s="10"/>
      <c r="L2" s="1"/>
      <c r="M2" s="10" t="s">
        <v>0</v>
      </c>
      <c r="N2" s="10"/>
      <c r="O2" s="10"/>
      <c r="P2" s="1"/>
      <c r="Q2" s="10" t="s">
        <v>0</v>
      </c>
      <c r="R2" s="10"/>
      <c r="S2" s="10"/>
      <c r="T2" s="1"/>
      <c r="U2" s="10" t="s">
        <v>0</v>
      </c>
      <c r="V2" s="10"/>
      <c r="W2" s="10"/>
      <c r="X2" s="1"/>
      <c r="Y2" s="4"/>
      <c r="Z2" s="4"/>
      <c r="AA2" s="4"/>
      <c r="AC2" s="4"/>
      <c r="AD2" s="4"/>
      <c r="AE2" s="4"/>
      <c r="AG2" s="4"/>
      <c r="AH2" s="4"/>
      <c r="AI2" s="4"/>
      <c r="AK2" s="4"/>
      <c r="AL2" s="4"/>
      <c r="AM2" s="4"/>
      <c r="AO2" s="4"/>
      <c r="AP2" s="4"/>
      <c r="AQ2" s="4"/>
      <c r="AS2" s="4"/>
      <c r="AT2" s="4"/>
      <c r="AU2" s="4"/>
    </row>
    <row r="3" spans="1:47" x14ac:dyDescent="0.35">
      <c r="A3" s="2" t="s">
        <v>15</v>
      </c>
      <c r="B3" s="2" t="s">
        <v>16</v>
      </c>
      <c r="C3" s="2" t="s">
        <v>17</v>
      </c>
      <c r="E3" s="2" t="s">
        <v>15</v>
      </c>
      <c r="F3" s="2" t="s">
        <v>16</v>
      </c>
      <c r="G3" s="2" t="s">
        <v>17</v>
      </c>
      <c r="I3" s="2" t="s">
        <v>15</v>
      </c>
      <c r="J3" s="2" t="s">
        <v>16</v>
      </c>
      <c r="K3" s="2" t="s">
        <v>17</v>
      </c>
      <c r="M3" s="2" t="s">
        <v>15</v>
      </c>
      <c r="N3" s="2" t="s">
        <v>16</v>
      </c>
      <c r="O3" s="2" t="s">
        <v>17</v>
      </c>
      <c r="Q3" s="2" t="s">
        <v>15</v>
      </c>
      <c r="R3" s="2" t="s">
        <v>16</v>
      </c>
      <c r="S3" s="2" t="s">
        <v>17</v>
      </c>
      <c r="U3" s="2" t="s">
        <v>15</v>
      </c>
      <c r="V3" s="2" t="s">
        <v>16</v>
      </c>
      <c r="W3" s="2" t="s">
        <v>17</v>
      </c>
      <c r="Y3" s="4"/>
      <c r="Z3" s="4" t="s">
        <v>16</v>
      </c>
      <c r="AA3" s="4" t="s">
        <v>17</v>
      </c>
      <c r="AC3" s="4"/>
      <c r="AD3" s="4" t="s">
        <v>16</v>
      </c>
      <c r="AE3" s="4" t="s">
        <v>17</v>
      </c>
      <c r="AG3" s="4"/>
      <c r="AH3" s="4" t="s">
        <v>16</v>
      </c>
      <c r="AI3" s="4" t="s">
        <v>17</v>
      </c>
      <c r="AK3" s="4"/>
      <c r="AL3" s="4" t="s">
        <v>16</v>
      </c>
      <c r="AM3" s="4" t="s">
        <v>17</v>
      </c>
      <c r="AO3" s="4"/>
      <c r="AP3" s="4" t="s">
        <v>16</v>
      </c>
      <c r="AQ3" s="4" t="s">
        <v>17</v>
      </c>
      <c r="AS3" s="4"/>
      <c r="AT3" s="4" t="s">
        <v>16</v>
      </c>
      <c r="AU3" s="4" t="s">
        <v>17</v>
      </c>
    </row>
    <row r="4" spans="1:47" x14ac:dyDescent="0.35">
      <c r="A4" s="2">
        <v>1</v>
      </c>
      <c r="B4" s="2">
        <v>433.72793157353101</v>
      </c>
      <c r="C4" s="2">
        <v>99.116936999999993</v>
      </c>
      <c r="E4" s="2">
        <v>1</v>
      </c>
      <c r="F4" s="2">
        <v>440.24124054661598</v>
      </c>
      <c r="G4" s="2">
        <v>103.774528</v>
      </c>
      <c r="I4" s="2">
        <v>1</v>
      </c>
      <c r="J4" s="2">
        <v>478.18506895098102</v>
      </c>
      <c r="K4" s="2">
        <v>9.7808879999999991</v>
      </c>
      <c r="M4" s="2">
        <v>1</v>
      </c>
      <c r="N4" s="2">
        <v>448.379031301194</v>
      </c>
      <c r="O4" s="2">
        <v>117.336491</v>
      </c>
      <c r="Q4" s="2">
        <v>1</v>
      </c>
      <c r="R4" s="2">
        <v>516.76579997107001</v>
      </c>
      <c r="S4" s="2">
        <v>9.22105</v>
      </c>
      <c r="U4" s="2">
        <v>1</v>
      </c>
      <c r="V4" s="2">
        <v>479.91416681862898</v>
      </c>
      <c r="W4" s="2">
        <v>9.3358659999999993</v>
      </c>
      <c r="Y4" s="4" t="s">
        <v>0</v>
      </c>
      <c r="Z4" s="4">
        <f ca="1">_xlfn.QUARTILE.INC(OFFSET($B$4,(ROW()-ROW($B$4))*24,0,20),2)</f>
        <v>434.45823441612299</v>
      </c>
      <c r="AA4" s="4">
        <f ca="1">_xlfn.QUARTILE.INC(OFFSET($C$4,(ROW()-ROW($C$4))*24,0,20),2)</f>
        <v>99.914147</v>
      </c>
      <c r="AC4" s="4" t="s">
        <v>0</v>
      </c>
      <c r="AD4" s="4">
        <f ca="1">_xlfn.QUARTILE.INC(OFFSET($J$4,(ROW()-ROW($J$4))*24,0,20),2)</f>
        <v>461.97011454313247</v>
      </c>
      <c r="AE4" s="4">
        <f ca="1">_xlfn.QUARTILE.INC(OFFSET($K$4,(ROW()-ROW($K$4))*24,0,20),2)</f>
        <v>9.7584684999999993</v>
      </c>
      <c r="AG4" s="4" t="s">
        <v>0</v>
      </c>
      <c r="AH4" s="4">
        <f ca="1">_xlfn.QUARTILE.INC(OFFSET($F$4,(ROW()-ROW($F$4))*24,0,20),2)</f>
        <v>435.54597912070301</v>
      </c>
      <c r="AI4" s="4">
        <f ca="1">_xlfn.QUARTILE.INC(OFFSET($G$4,(ROW()-ROW($G$4))*24,0,20),2)</f>
        <v>102.663831</v>
      </c>
      <c r="AK4" s="4" t="s">
        <v>0</v>
      </c>
      <c r="AL4" s="4">
        <f ca="1">_xlfn.QUARTILE.INC(OFFSET($N$4,(ROW()-ROW($N$4))*24,0,20),2)</f>
        <v>456.38981129698197</v>
      </c>
      <c r="AM4" s="4">
        <f ca="1">_xlfn.QUARTILE.INC(OFFSET($O$4,(ROW()-ROW($O$4))*24,0,20),2)</f>
        <v>121.20957799999999</v>
      </c>
      <c r="AO4" s="4" t="s">
        <v>0</v>
      </c>
      <c r="AP4" s="4">
        <f ca="1">_xlfn.QUARTILE.INC(OFFSET($R$4,(ROW()-ROW($R$4))*24,0,20),2)</f>
        <v>513.1049036992124</v>
      </c>
      <c r="AQ4" s="4">
        <f ca="1">_xlfn.QUARTILE.INC(OFFSET($S$4,(ROW()-ROW($S$4))*24,0,20),2)</f>
        <v>9.6291975000000001</v>
      </c>
      <c r="AS4" s="4" t="s">
        <v>0</v>
      </c>
      <c r="AT4" s="4">
        <f ca="1">_xlfn.QUARTILE.INC(OFFSET($V$4,(ROW()-ROW($V$4))*24,0,20),2)</f>
        <v>476.31870187374801</v>
      </c>
      <c r="AU4" s="4">
        <f ca="1">_xlfn.QUARTILE.INC(OFFSET($W$4,(ROW()-ROW($W$4))*24,0,20),2)</f>
        <v>9.5783424999999998</v>
      </c>
    </row>
    <row r="5" spans="1:47" x14ac:dyDescent="0.35">
      <c r="A5" s="2">
        <v>2</v>
      </c>
      <c r="B5" s="2">
        <v>439.151731531564</v>
      </c>
      <c r="C5" s="2">
        <v>101.45058899999999</v>
      </c>
      <c r="E5" s="2">
        <v>2</v>
      </c>
      <c r="F5" s="2">
        <v>433.20035518532302</v>
      </c>
      <c r="G5" s="2">
        <v>102.972588</v>
      </c>
      <c r="I5" s="2">
        <v>2</v>
      </c>
      <c r="J5" s="2">
        <v>480.27637902353001</v>
      </c>
      <c r="K5" s="2">
        <v>9.5793189999999999</v>
      </c>
      <c r="M5" s="2">
        <v>2</v>
      </c>
      <c r="N5" s="2">
        <v>467.91345589708698</v>
      </c>
      <c r="O5" s="2">
        <v>119.76104599999999</v>
      </c>
      <c r="Q5" s="2">
        <v>2</v>
      </c>
      <c r="R5" s="2">
        <v>497.184241305775</v>
      </c>
      <c r="S5" s="2">
        <v>9.7278699999999994</v>
      </c>
      <c r="U5" s="2">
        <v>2</v>
      </c>
      <c r="V5" s="2">
        <v>470.21572987812698</v>
      </c>
      <c r="W5" s="2">
        <v>9.2212730000000001</v>
      </c>
      <c r="Y5" s="4" t="s">
        <v>1</v>
      </c>
      <c r="Z5" s="4">
        <f t="shared" ref="Z5:Z23" ca="1" si="0">_xlfn.QUARTILE.INC(OFFSET($B$4,(ROW()-ROW($B$4))*24,0,20),2)</f>
        <v>557.43810330082601</v>
      </c>
      <c r="AA5" s="4">
        <f t="shared" ref="AA5:AA23" ca="1" si="1">_xlfn.QUARTILE.INC(OFFSET($C$4,(ROW()-ROW($C$4))*24,0,20),2)</f>
        <v>333.45426499999996</v>
      </c>
      <c r="AC5" s="4" t="s">
        <v>1</v>
      </c>
      <c r="AD5" s="4">
        <f t="shared" ref="AD5:AD23" ca="1" si="2">_xlfn.QUARTILE.INC(OFFSET($J$4,(ROW()-ROW($J$4))*24,0,20),2)</f>
        <v>599.18688659666645</v>
      </c>
      <c r="AE5" s="4">
        <f t="shared" ref="AE5:AE23" ca="1" si="3">_xlfn.QUARTILE.INC(OFFSET($K$4,(ROW()-ROW($K$4))*24,0,20),2)</f>
        <v>19.719271499999998</v>
      </c>
      <c r="AG5" s="4" t="s">
        <v>1</v>
      </c>
      <c r="AH5" s="4">
        <f t="shared" ref="AH5:AH23" ca="1" si="4">_xlfn.QUARTILE.INC(OFFSET($F$4,(ROW()-ROW($F$4))*24,0,20),2)</f>
        <v>559.67487243028245</v>
      </c>
      <c r="AI5" s="4">
        <f t="shared" ref="AI5:AI23" ca="1" si="5">_xlfn.QUARTILE.INC(OFFSET($G$4,(ROW()-ROW($G$4))*24,0,20),2)</f>
        <v>349.03066850000005</v>
      </c>
      <c r="AK5" s="4" t="s">
        <v>1</v>
      </c>
      <c r="AL5" s="4">
        <f t="shared" ref="AL5:AL23" ca="1" si="6">_xlfn.QUARTILE.INC(OFFSET($N$4,(ROW()-ROW($N$4))*24,0,20),2)</f>
        <v>574.82379934176606</v>
      </c>
      <c r="AM5" s="4">
        <f t="shared" ref="AM5:AM23" ca="1" si="7">_xlfn.QUARTILE.INC(OFFSET($O$4,(ROW()-ROW($O$4))*24,0,20),2)</f>
        <v>429.69992100000002</v>
      </c>
      <c r="AO5" s="4" t="s">
        <v>1</v>
      </c>
      <c r="AP5" s="4">
        <f t="shared" ref="AP5:AP23" ca="1" si="8">_xlfn.QUARTILE.INC(OFFSET($R$4,(ROW()-ROW($R$4))*24,0,20),2)</f>
        <v>626.86975156023095</v>
      </c>
      <c r="AQ5" s="4">
        <f t="shared" ref="AQ5:AQ23" ca="1" si="9">_xlfn.QUARTILE.INC(OFFSET($S$4,(ROW()-ROW($S$4))*24,0,20),2)</f>
        <v>19.529671499999999</v>
      </c>
      <c r="AS5" s="4" t="s">
        <v>1</v>
      </c>
      <c r="AT5" s="4">
        <f t="shared" ref="AT5:AT23" ca="1" si="10">_xlfn.QUARTILE.INC(OFFSET($V$4,(ROW()-ROW($V$4))*24,0,20),2)</f>
        <v>615.32626155038042</v>
      </c>
      <c r="AU5" s="4">
        <f t="shared" ref="AU5:AU23" ca="1" si="11">_xlfn.QUARTILE.INC(OFFSET($W$4,(ROW()-ROW($W$4))*24,0,20),2)</f>
        <v>19.7927575</v>
      </c>
    </row>
    <row r="6" spans="1:47" x14ac:dyDescent="0.35">
      <c r="A6" s="2">
        <v>3</v>
      </c>
      <c r="B6" s="2">
        <v>435.80051149404397</v>
      </c>
      <c r="C6" s="2">
        <v>100.987645</v>
      </c>
      <c r="E6" s="2">
        <v>3</v>
      </c>
      <c r="F6" s="2">
        <v>432.57451186609597</v>
      </c>
      <c r="G6" s="2">
        <v>101.901792</v>
      </c>
      <c r="I6" s="2">
        <v>3</v>
      </c>
      <c r="J6" s="2">
        <v>467.29610266306099</v>
      </c>
      <c r="K6" s="2">
        <v>8.5249880000000005</v>
      </c>
      <c r="M6" s="2">
        <v>3</v>
      </c>
      <c r="N6" s="2">
        <v>457.918278644152</v>
      </c>
      <c r="O6" s="2">
        <v>123.024855</v>
      </c>
      <c r="Q6" s="2">
        <v>3</v>
      </c>
      <c r="R6" s="2">
        <v>499.02048154972499</v>
      </c>
      <c r="S6" s="2">
        <v>9.4797519999999995</v>
      </c>
      <c r="U6" s="2">
        <v>3</v>
      </c>
      <c r="V6" s="2">
        <v>476.38857905985901</v>
      </c>
      <c r="W6" s="2">
        <v>9.6657150000000005</v>
      </c>
      <c r="Y6" s="4" t="s">
        <v>2</v>
      </c>
      <c r="Z6" s="4">
        <f t="shared" ca="1" si="0"/>
        <v>110616.506977842</v>
      </c>
      <c r="AA6" s="4">
        <f t="shared" ca="1" si="1"/>
        <v>389.449412</v>
      </c>
      <c r="AC6" s="4" t="s">
        <v>2</v>
      </c>
      <c r="AD6" s="4">
        <f t="shared" ca="1" si="2"/>
        <v>122076.614144828</v>
      </c>
      <c r="AE6" s="4">
        <f t="shared" ca="1" si="3"/>
        <v>19.593636500000002</v>
      </c>
      <c r="AG6" s="4" t="s">
        <v>2</v>
      </c>
      <c r="AH6" s="4">
        <f t="shared" ca="1" si="4"/>
        <v>110709.209285345</v>
      </c>
      <c r="AI6" s="4">
        <f t="shared" ca="1" si="5"/>
        <v>396.900486</v>
      </c>
      <c r="AK6" s="4" t="s">
        <v>2</v>
      </c>
      <c r="AL6" s="4">
        <f t="shared" ca="1" si="6"/>
        <v>115979.95552865</v>
      </c>
      <c r="AM6" s="4">
        <f t="shared" ca="1" si="7"/>
        <v>488.60353199999997</v>
      </c>
      <c r="AO6" s="4" t="s">
        <v>2</v>
      </c>
      <c r="AP6" s="4">
        <f t="shared" ca="1" si="8"/>
        <v>133895.73187235399</v>
      </c>
      <c r="AQ6" s="4">
        <f t="shared" ca="1" si="9"/>
        <v>19.513198500000001</v>
      </c>
      <c r="AS6" s="4" t="s">
        <v>2</v>
      </c>
      <c r="AT6" s="4">
        <f t="shared" ca="1" si="10"/>
        <v>123259.35134535699</v>
      </c>
      <c r="AU6" s="4">
        <f t="shared" ca="1" si="11"/>
        <v>19.5701845</v>
      </c>
    </row>
    <row r="7" spans="1:47" x14ac:dyDescent="0.35">
      <c r="A7" s="2">
        <v>4</v>
      </c>
      <c r="B7" s="2">
        <v>437.02773910006403</v>
      </c>
      <c r="C7" s="2">
        <v>100.20037600000001</v>
      </c>
      <c r="E7" s="2">
        <v>4</v>
      </c>
      <c r="F7" s="2">
        <v>430.88302275085698</v>
      </c>
      <c r="G7" s="2">
        <v>102.85010200000001</v>
      </c>
      <c r="I7" s="2">
        <v>4</v>
      </c>
      <c r="J7" s="2">
        <v>452.42712180866903</v>
      </c>
      <c r="K7" s="2">
        <v>9.4407259999999997</v>
      </c>
      <c r="M7" s="2">
        <v>4</v>
      </c>
      <c r="N7" s="2">
        <v>440.52928028641702</v>
      </c>
      <c r="O7" s="2">
        <v>119.11021599999999</v>
      </c>
      <c r="Q7" s="2">
        <v>4</v>
      </c>
      <c r="R7" s="2">
        <v>523.222362066953</v>
      </c>
      <c r="S7" s="2">
        <v>9.5410509999999995</v>
      </c>
      <c r="U7" s="2">
        <v>4</v>
      </c>
      <c r="V7" s="2">
        <v>515.92011317283198</v>
      </c>
      <c r="W7" s="2">
        <v>9.7478770000000008</v>
      </c>
      <c r="Y7" s="4" t="s">
        <v>3</v>
      </c>
      <c r="Z7" s="4">
        <f t="shared" ca="1" si="0"/>
        <v>8169.1900811561</v>
      </c>
      <c r="AA7" s="4">
        <f t="shared" ca="1" si="1"/>
        <v>862.32622649999996</v>
      </c>
      <c r="AC7" s="4" t="s">
        <v>3</v>
      </c>
      <c r="AD7" s="4">
        <f t="shared" ca="1" si="2"/>
        <v>9131.9863475942748</v>
      </c>
      <c r="AE7" s="4">
        <f t="shared" ca="1" si="3"/>
        <v>32.991995500000002</v>
      </c>
      <c r="AG7" s="4" t="s">
        <v>3</v>
      </c>
      <c r="AH7" s="4">
        <f t="shared" ca="1" si="4"/>
        <v>8076.92947593798</v>
      </c>
      <c r="AI7" s="4">
        <f t="shared" ca="1" si="5"/>
        <v>911.11607550000008</v>
      </c>
      <c r="AK7" s="4" t="s">
        <v>3</v>
      </c>
      <c r="AL7" s="4">
        <f t="shared" ca="1" si="6"/>
        <v>8414.4728210687808</v>
      </c>
      <c r="AM7" s="4">
        <f t="shared" ca="1" si="7"/>
        <v>1245.593515</v>
      </c>
      <c r="AO7" s="4" t="s">
        <v>3</v>
      </c>
      <c r="AP7" s="4">
        <f t="shared" ca="1" si="8"/>
        <v>9515.6684162696911</v>
      </c>
      <c r="AQ7" s="4">
        <f t="shared" ca="1" si="9"/>
        <v>32.985855000000001</v>
      </c>
      <c r="AS7" s="4" t="s">
        <v>3</v>
      </c>
      <c r="AT7" s="4">
        <f t="shared" ca="1" si="10"/>
        <v>9568.1447575781494</v>
      </c>
      <c r="AU7" s="4">
        <f t="shared" ca="1" si="11"/>
        <v>32.845782</v>
      </c>
    </row>
    <row r="8" spans="1:47" x14ac:dyDescent="0.35">
      <c r="A8" s="2">
        <v>5</v>
      </c>
      <c r="B8" s="2">
        <v>434.478386347477</v>
      </c>
      <c r="C8" s="2">
        <v>100.214744</v>
      </c>
      <c r="E8" s="2">
        <v>5</v>
      </c>
      <c r="F8" s="2">
        <v>443.34242207096798</v>
      </c>
      <c r="G8" s="2">
        <v>102.575406</v>
      </c>
      <c r="I8" s="2">
        <v>5</v>
      </c>
      <c r="J8" s="2">
        <v>466.905168880433</v>
      </c>
      <c r="K8" s="2">
        <v>9.7802530000000001</v>
      </c>
      <c r="M8" s="2">
        <v>5</v>
      </c>
      <c r="N8" s="2">
        <v>465.037726307642</v>
      </c>
      <c r="O8" s="2">
        <v>118.176395</v>
      </c>
      <c r="Q8" s="2">
        <v>5</v>
      </c>
      <c r="R8" s="2">
        <v>517.20124071192697</v>
      </c>
      <c r="S8" s="2">
        <v>10.279513</v>
      </c>
      <c r="U8" s="2">
        <v>5</v>
      </c>
      <c r="V8" s="2">
        <v>470.47862940424898</v>
      </c>
      <c r="W8" s="2">
        <v>9.2920339999999992</v>
      </c>
      <c r="Y8" s="4" t="s">
        <v>4</v>
      </c>
      <c r="Z8" s="4">
        <f t="shared" ca="1" si="0"/>
        <v>657.92202208188598</v>
      </c>
      <c r="AA8" s="4">
        <f t="shared" ca="1" si="1"/>
        <v>811.63012350000008</v>
      </c>
      <c r="AC8" s="4" t="s">
        <v>4</v>
      </c>
      <c r="AD8" s="4">
        <f t="shared" ca="1" si="2"/>
        <v>726.08501414764601</v>
      </c>
      <c r="AE8" s="4">
        <f t="shared" ca="1" si="3"/>
        <v>33.579326500000001</v>
      </c>
      <c r="AG8" s="4" t="s">
        <v>4</v>
      </c>
      <c r="AH8" s="4">
        <f t="shared" ca="1" si="4"/>
        <v>660.53861560631549</v>
      </c>
      <c r="AI8" s="4">
        <f t="shared" ca="1" si="5"/>
        <v>860.20360900000003</v>
      </c>
      <c r="AK8" s="4" t="s">
        <v>4</v>
      </c>
      <c r="AL8" s="4">
        <f t="shared" ca="1" si="6"/>
        <v>678.96579418183501</v>
      </c>
      <c r="AM8" s="4">
        <f t="shared" ca="1" si="7"/>
        <v>1170.9579214999999</v>
      </c>
      <c r="AO8" s="4" t="s">
        <v>4</v>
      </c>
      <c r="AP8" s="4">
        <f t="shared" ca="1" si="8"/>
        <v>780.00547791992199</v>
      </c>
      <c r="AQ8" s="4">
        <f t="shared" ca="1" si="9"/>
        <v>33.442284000000001</v>
      </c>
      <c r="AS8" s="4" t="s">
        <v>4</v>
      </c>
      <c r="AT8" s="4">
        <f t="shared" ca="1" si="10"/>
        <v>760.952637338621</v>
      </c>
      <c r="AU8" s="4">
        <f t="shared" ca="1" si="11"/>
        <v>33.348982500000005</v>
      </c>
    </row>
    <row r="9" spans="1:47" x14ac:dyDescent="0.35">
      <c r="A9" s="2">
        <v>6</v>
      </c>
      <c r="B9" s="2">
        <v>433.57286986454301</v>
      </c>
      <c r="C9" s="2">
        <v>100.48797999999999</v>
      </c>
      <c r="E9" s="2">
        <v>6</v>
      </c>
      <c r="F9" s="2">
        <v>429.53028334169898</v>
      </c>
      <c r="G9" s="2">
        <v>102.564975</v>
      </c>
      <c r="I9" s="2">
        <v>6</v>
      </c>
      <c r="J9" s="2">
        <v>463.735282588877</v>
      </c>
      <c r="K9" s="2">
        <v>9.6132249999999999</v>
      </c>
      <c r="M9" s="2">
        <v>6</v>
      </c>
      <c r="N9" s="2">
        <v>468.63768314665299</v>
      </c>
      <c r="O9" s="2">
        <v>122.99190900000001</v>
      </c>
      <c r="Q9" s="2">
        <v>6</v>
      </c>
      <c r="R9" s="2">
        <v>518.42117310163201</v>
      </c>
      <c r="S9" s="2">
        <v>9.5230130000000006</v>
      </c>
      <c r="U9" s="2">
        <v>6</v>
      </c>
      <c r="V9" s="2">
        <v>446.447777407611</v>
      </c>
      <c r="W9" s="2">
        <v>9.5883029999999998</v>
      </c>
      <c r="Y9" s="4" t="s">
        <v>5</v>
      </c>
      <c r="Z9" s="4">
        <f t="shared" ca="1" si="0"/>
        <v>14511.22196402545</v>
      </c>
      <c r="AA9" s="4">
        <f t="shared" ca="1" si="1"/>
        <v>1036.8287885</v>
      </c>
      <c r="AC9" s="4" t="s">
        <v>5</v>
      </c>
      <c r="AD9" s="4">
        <f t="shared" ca="1" si="2"/>
        <v>16931.694017866201</v>
      </c>
      <c r="AE9" s="4">
        <f t="shared" ca="1" si="3"/>
        <v>35.724514499999998</v>
      </c>
      <c r="AG9" s="4" t="s">
        <v>5</v>
      </c>
      <c r="AH9" s="4">
        <f t="shared" ca="1" si="4"/>
        <v>14580.07502387565</v>
      </c>
      <c r="AI9" s="4">
        <f t="shared" ca="1" si="5"/>
        <v>1042.4290225</v>
      </c>
      <c r="AK9" s="4" t="s">
        <v>5</v>
      </c>
      <c r="AL9" s="4">
        <f t="shared" ca="1" si="6"/>
        <v>15032.6228477493</v>
      </c>
      <c r="AM9" s="4">
        <f t="shared" ca="1" si="7"/>
        <v>1498.5195429999999</v>
      </c>
      <c r="AO9" s="4" t="s">
        <v>5</v>
      </c>
      <c r="AP9" s="4">
        <f t="shared" ca="1" si="8"/>
        <v>17018.0922334485</v>
      </c>
      <c r="AQ9" s="4">
        <f t="shared" ca="1" si="9"/>
        <v>35.488195000000005</v>
      </c>
      <c r="AS9" s="4" t="s">
        <v>5</v>
      </c>
      <c r="AT9" s="4">
        <f t="shared" ca="1" si="10"/>
        <v>16803.796344077051</v>
      </c>
      <c r="AU9" s="4">
        <f t="shared" ca="1" si="11"/>
        <v>35.6940825</v>
      </c>
    </row>
    <row r="10" spans="1:47" x14ac:dyDescent="0.35">
      <c r="A10" s="2">
        <v>7</v>
      </c>
      <c r="B10" s="2">
        <v>437.77129467495598</v>
      </c>
      <c r="C10" s="2">
        <v>100.322819</v>
      </c>
      <c r="E10" s="2">
        <v>7</v>
      </c>
      <c r="F10" s="2">
        <v>430.89035660275403</v>
      </c>
      <c r="G10" s="2">
        <v>102.468232</v>
      </c>
      <c r="I10" s="2">
        <v>7</v>
      </c>
      <c r="J10" s="2">
        <v>458.826295203413</v>
      </c>
      <c r="K10" s="2">
        <v>9.9332600000000006</v>
      </c>
      <c r="M10" s="2">
        <v>7</v>
      </c>
      <c r="N10" s="2">
        <v>451.63458645953301</v>
      </c>
      <c r="O10" s="2">
        <v>122.251069</v>
      </c>
      <c r="Q10" s="2">
        <v>7</v>
      </c>
      <c r="R10" s="2">
        <v>505.01468015206399</v>
      </c>
      <c r="S10" s="2">
        <v>9.0082640000000005</v>
      </c>
      <c r="U10" s="2">
        <v>7</v>
      </c>
      <c r="V10" s="2">
        <v>488.22336579438303</v>
      </c>
      <c r="W10" s="2">
        <v>9.8518150000000002</v>
      </c>
      <c r="Y10" s="4" t="s">
        <v>6</v>
      </c>
      <c r="Z10" s="4">
        <f t="shared" ca="1" si="0"/>
        <v>45028.964513686398</v>
      </c>
      <c r="AA10" s="4">
        <f t="shared" ca="1" si="1"/>
        <v>1153.7130425</v>
      </c>
      <c r="AC10" s="4" t="s">
        <v>6</v>
      </c>
      <c r="AD10" s="4">
        <f t="shared" ca="1" si="2"/>
        <v>49918.958104894904</v>
      </c>
      <c r="AE10" s="4">
        <f t="shared" ca="1" si="3"/>
        <v>37.177597499999997</v>
      </c>
      <c r="AG10" s="4" t="s">
        <v>6</v>
      </c>
      <c r="AH10" s="4">
        <f t="shared" ca="1" si="4"/>
        <v>44981.5410114763</v>
      </c>
      <c r="AI10" s="4">
        <f t="shared" ca="1" si="5"/>
        <v>1158.2315765000001</v>
      </c>
      <c r="AK10" s="4" t="s">
        <v>6</v>
      </c>
      <c r="AL10" s="4">
        <f t="shared" ca="1" si="6"/>
        <v>45149.113989584999</v>
      </c>
      <c r="AM10" s="4">
        <f t="shared" ca="1" si="7"/>
        <v>1623.4934535</v>
      </c>
      <c r="AO10" s="4" t="s">
        <v>6</v>
      </c>
      <c r="AP10" s="4">
        <f t="shared" ca="1" si="8"/>
        <v>47408.227064945153</v>
      </c>
      <c r="AQ10" s="4">
        <f t="shared" ca="1" si="9"/>
        <v>37.004745499999999</v>
      </c>
      <c r="AS10" s="4" t="s">
        <v>6</v>
      </c>
      <c r="AT10" s="4">
        <f t="shared" ca="1" si="10"/>
        <v>49792.331774376849</v>
      </c>
      <c r="AU10" s="4">
        <f t="shared" ca="1" si="11"/>
        <v>37.089240500000002</v>
      </c>
    </row>
    <row r="11" spans="1:47" x14ac:dyDescent="0.35">
      <c r="A11" s="2">
        <v>8</v>
      </c>
      <c r="B11" s="2">
        <v>434.17626825272703</v>
      </c>
      <c r="C11" s="2">
        <v>96.998206999999994</v>
      </c>
      <c r="E11" s="2">
        <v>8</v>
      </c>
      <c r="F11" s="2">
        <v>433.24751815567299</v>
      </c>
      <c r="G11" s="2">
        <v>102.862672</v>
      </c>
      <c r="I11" s="2">
        <v>8</v>
      </c>
      <c r="J11" s="2">
        <v>458.73068940912498</v>
      </c>
      <c r="K11" s="2">
        <v>9.8197600000000005</v>
      </c>
      <c r="M11" s="2">
        <v>8</v>
      </c>
      <c r="N11" s="2">
        <v>477.78250351599303</v>
      </c>
      <c r="O11" s="2">
        <v>121.555457</v>
      </c>
      <c r="Q11" s="2">
        <v>8</v>
      </c>
      <c r="R11" s="2">
        <v>500.44171730647003</v>
      </c>
      <c r="S11" s="2">
        <v>8.874943</v>
      </c>
      <c r="U11" s="2">
        <v>8</v>
      </c>
      <c r="V11" s="2">
        <v>469.20132864775201</v>
      </c>
      <c r="W11" s="2">
        <v>9.5264410000000002</v>
      </c>
      <c r="Y11" s="4" t="s">
        <v>7</v>
      </c>
      <c r="Z11" s="4">
        <f t="shared" ca="1" si="0"/>
        <v>60011.267854497099</v>
      </c>
      <c r="AA11" s="4">
        <f t="shared" ca="1" si="1"/>
        <v>1776.0551865</v>
      </c>
      <c r="AC11" s="4" t="s">
        <v>7</v>
      </c>
      <c r="AD11" s="4">
        <f t="shared" ca="1" si="2"/>
        <v>67007.945854969294</v>
      </c>
      <c r="AE11" s="4">
        <f t="shared" ca="1" si="3"/>
        <v>48.9176365</v>
      </c>
      <c r="AG11" s="4" t="s">
        <v>7</v>
      </c>
      <c r="AH11" s="4">
        <f t="shared" ca="1" si="4"/>
        <v>59814.441895947049</v>
      </c>
      <c r="AI11" s="4">
        <f t="shared" ca="1" si="5"/>
        <v>1809.3698595000001</v>
      </c>
      <c r="AK11" s="4" t="s">
        <v>7</v>
      </c>
      <c r="AL11" s="4">
        <f t="shared" ca="1" si="6"/>
        <v>60536.7215246876</v>
      </c>
      <c r="AM11" s="4">
        <f t="shared" ca="1" si="7"/>
        <v>2405.9487294999999</v>
      </c>
      <c r="AO11" s="4" t="s">
        <v>7</v>
      </c>
      <c r="AP11" s="4">
        <f t="shared" ca="1" si="8"/>
        <v>67304.130469259399</v>
      </c>
      <c r="AQ11" s="4">
        <f t="shared" ca="1" si="9"/>
        <v>49.020367500000006</v>
      </c>
      <c r="AS11" s="4" t="s">
        <v>7</v>
      </c>
      <c r="AT11" s="4">
        <f t="shared" ca="1" si="10"/>
        <v>67100.708429223101</v>
      </c>
      <c r="AU11" s="4">
        <f t="shared" ca="1" si="11"/>
        <v>49.530639000000001</v>
      </c>
    </row>
    <row r="12" spans="1:47" x14ac:dyDescent="0.35">
      <c r="A12" s="2">
        <v>9</v>
      </c>
      <c r="B12" s="2">
        <v>433.08619063654601</v>
      </c>
      <c r="C12" s="2">
        <v>100.788641</v>
      </c>
      <c r="E12" s="2">
        <v>9</v>
      </c>
      <c r="F12" s="2">
        <v>429.53028334169898</v>
      </c>
      <c r="G12" s="2">
        <v>103.278345</v>
      </c>
      <c r="I12" s="2">
        <v>9</v>
      </c>
      <c r="J12" s="2">
        <v>470.069114212535</v>
      </c>
      <c r="K12" s="2">
        <v>9.1628620000000005</v>
      </c>
      <c r="M12" s="2">
        <v>9</v>
      </c>
      <c r="N12" s="2">
        <v>455.94639557300098</v>
      </c>
      <c r="O12" s="2">
        <v>120.58166300000001</v>
      </c>
      <c r="Q12" s="2">
        <v>9</v>
      </c>
      <c r="R12" s="2">
        <v>515.34545103694597</v>
      </c>
      <c r="S12" s="2">
        <v>9.7467579999999998</v>
      </c>
      <c r="U12" s="2">
        <v>9</v>
      </c>
      <c r="V12" s="2">
        <v>470.734946404141</v>
      </c>
      <c r="W12" s="2">
        <v>9.2653320000000008</v>
      </c>
      <c r="Y12" s="4" t="s">
        <v>8</v>
      </c>
      <c r="Z12" s="4">
        <f t="shared" ca="1" si="0"/>
        <v>119857.62071685749</v>
      </c>
      <c r="AA12" s="4">
        <f t="shared" ca="1" si="1"/>
        <v>2152.927788</v>
      </c>
      <c r="AC12" s="4" t="s">
        <v>8</v>
      </c>
      <c r="AD12" s="4">
        <f t="shared" ca="1" si="2"/>
        <v>136212.61282102251</v>
      </c>
      <c r="AE12" s="4">
        <f t="shared" ca="1" si="3"/>
        <v>51.533147</v>
      </c>
      <c r="AG12" s="4" t="s">
        <v>8</v>
      </c>
      <c r="AH12" s="4">
        <f t="shared" ca="1" si="4"/>
        <v>120663.1584122465</v>
      </c>
      <c r="AI12" s="4">
        <f t="shared" ca="1" si="5"/>
        <v>2215.2513730000001</v>
      </c>
      <c r="AK12" s="4" t="s">
        <v>8</v>
      </c>
      <c r="AL12" s="4">
        <f t="shared" ca="1" si="6"/>
        <v>126369.72246685901</v>
      </c>
      <c r="AM12" s="4">
        <f t="shared" ca="1" si="7"/>
        <v>3125.048174</v>
      </c>
      <c r="AO12" s="4" t="s">
        <v>8</v>
      </c>
      <c r="AP12" s="4">
        <f t="shared" ca="1" si="8"/>
        <v>134177.280940558</v>
      </c>
      <c r="AQ12" s="4">
        <f t="shared" ca="1" si="9"/>
        <v>51.534511500000001</v>
      </c>
      <c r="AS12" s="4" t="s">
        <v>8</v>
      </c>
      <c r="AT12" s="4">
        <f t="shared" ca="1" si="10"/>
        <v>136396.765666764</v>
      </c>
      <c r="AU12" s="4">
        <f t="shared" ca="1" si="11"/>
        <v>51.233597500000002</v>
      </c>
    </row>
    <row r="13" spans="1:47" x14ac:dyDescent="0.35">
      <c r="A13" s="2">
        <v>10</v>
      </c>
      <c r="B13" s="2">
        <v>444.20551256346403</v>
      </c>
      <c r="C13" s="2">
        <v>99.299121</v>
      </c>
      <c r="E13" s="2">
        <v>10</v>
      </c>
      <c r="F13" s="2">
        <v>435.94143727668802</v>
      </c>
      <c r="G13" s="2">
        <v>101.987368</v>
      </c>
      <c r="I13" s="2">
        <v>10</v>
      </c>
      <c r="J13" s="2">
        <v>445.31613265051402</v>
      </c>
      <c r="K13" s="2">
        <v>9.5820589999999992</v>
      </c>
      <c r="M13" s="2">
        <v>10</v>
      </c>
      <c r="N13" s="2">
        <v>455.599361671689</v>
      </c>
      <c r="O13" s="2">
        <v>121.617667</v>
      </c>
      <c r="Q13" s="2">
        <v>10</v>
      </c>
      <c r="R13" s="2">
        <v>526.79086762157397</v>
      </c>
      <c r="S13" s="2">
        <v>9.6831259999999997</v>
      </c>
      <c r="U13" s="2">
        <v>10</v>
      </c>
      <c r="V13" s="2">
        <v>464.20081147610802</v>
      </c>
      <c r="W13" s="2">
        <v>9.7391620000000003</v>
      </c>
      <c r="Y13" s="4" t="s">
        <v>9</v>
      </c>
      <c r="Z13" s="4">
        <f t="shared" ca="1" si="0"/>
        <v>6276.3244457484898</v>
      </c>
      <c r="AA13" s="4">
        <f t="shared" ca="1" si="1"/>
        <v>1929.835689</v>
      </c>
      <c r="AC13" s="4" t="s">
        <v>9</v>
      </c>
      <c r="AD13" s="4">
        <f t="shared" ca="1" si="2"/>
        <v>7006.8639488755853</v>
      </c>
      <c r="AE13" s="4">
        <f t="shared" ca="1" si="3"/>
        <v>53.969628</v>
      </c>
      <c r="AG13" s="4" t="s">
        <v>9</v>
      </c>
      <c r="AH13" s="4">
        <f t="shared" ca="1" si="4"/>
        <v>6258.8555308184405</v>
      </c>
      <c r="AI13" s="4">
        <f t="shared" ca="1" si="5"/>
        <v>2136.4208019999996</v>
      </c>
      <c r="AK13" s="4" t="s">
        <v>9</v>
      </c>
      <c r="AL13" s="4">
        <f t="shared" ca="1" si="6"/>
        <v>6502.7469564962703</v>
      </c>
      <c r="AM13" s="4">
        <f t="shared" ca="1" si="7"/>
        <v>2907.5209589999999</v>
      </c>
      <c r="AO13" s="4" t="s">
        <v>9</v>
      </c>
      <c r="AP13" s="4">
        <f t="shared" ca="1" si="8"/>
        <v>7357.8621589231798</v>
      </c>
      <c r="AQ13" s="4">
        <f t="shared" ca="1" si="9"/>
        <v>53.8848135</v>
      </c>
      <c r="AS13" s="4" t="s">
        <v>9</v>
      </c>
      <c r="AT13" s="4">
        <f t="shared" ca="1" si="10"/>
        <v>7261.0415523034853</v>
      </c>
      <c r="AU13" s="4">
        <f t="shared" ca="1" si="11"/>
        <v>53.6904635</v>
      </c>
    </row>
    <row r="14" spans="1:47" x14ac:dyDescent="0.35">
      <c r="A14" s="2">
        <v>11</v>
      </c>
      <c r="B14" s="2">
        <v>435.34326195152801</v>
      </c>
      <c r="C14" s="2">
        <v>101.20281199999999</v>
      </c>
      <c r="E14" s="2">
        <v>11</v>
      </c>
      <c r="F14" s="2">
        <v>436.104289703299</v>
      </c>
      <c r="G14" s="2">
        <v>101.53357699999999</v>
      </c>
      <c r="I14" s="2">
        <v>11</v>
      </c>
      <c r="J14" s="2">
        <v>460.20494649738799</v>
      </c>
      <c r="K14" s="2">
        <v>9.9545309999999994</v>
      </c>
      <c r="M14" s="2">
        <v>11</v>
      </c>
      <c r="N14" s="2">
        <v>460.34361349250298</v>
      </c>
      <c r="O14" s="2">
        <v>121.952224</v>
      </c>
      <c r="Q14" s="2">
        <v>11</v>
      </c>
      <c r="R14" s="2">
        <v>513.61000688472302</v>
      </c>
      <c r="S14" s="2">
        <v>9.486167</v>
      </c>
      <c r="U14" s="2">
        <v>11</v>
      </c>
      <c r="V14" s="2">
        <v>488.77747023619298</v>
      </c>
      <c r="W14" s="2">
        <v>10.092145</v>
      </c>
      <c r="Y14" s="4" t="s">
        <v>10</v>
      </c>
      <c r="Z14" s="4">
        <f t="shared" ca="1" si="0"/>
        <v>58969.561822948803</v>
      </c>
      <c r="AA14" s="4">
        <f t="shared" ca="1" si="1"/>
        <v>2937.6405185000003</v>
      </c>
      <c r="AC14" s="4" t="s">
        <v>10</v>
      </c>
      <c r="AD14" s="4">
        <f t="shared" ca="1" si="2"/>
        <v>65832.384535041492</v>
      </c>
      <c r="AE14" s="4">
        <f t="shared" ca="1" si="3"/>
        <v>65.224339000000001</v>
      </c>
      <c r="AG14" s="4" t="s">
        <v>10</v>
      </c>
      <c r="AH14" s="4">
        <f t="shared" ca="1" si="4"/>
        <v>58828.922269529001</v>
      </c>
      <c r="AI14" s="4">
        <f t="shared" ca="1" si="5"/>
        <v>2941.0806735000001</v>
      </c>
      <c r="AK14" s="4" t="s">
        <v>10</v>
      </c>
      <c r="AL14" s="4">
        <f t="shared" ca="1" si="6"/>
        <v>60753.466323702298</v>
      </c>
      <c r="AM14" s="4">
        <f t="shared" ca="1" si="7"/>
        <v>3915.1442685000002</v>
      </c>
      <c r="AO14" s="4" t="s">
        <v>10</v>
      </c>
      <c r="AP14" s="4">
        <f t="shared" ca="1" si="8"/>
        <v>61174.922158489499</v>
      </c>
      <c r="AQ14" s="4">
        <f t="shared" ca="1" si="9"/>
        <v>65.299756500000001</v>
      </c>
      <c r="AS14" s="4" t="s">
        <v>10</v>
      </c>
      <c r="AT14" s="4">
        <f t="shared" ca="1" si="10"/>
        <v>66909.962182764342</v>
      </c>
      <c r="AU14" s="4">
        <f t="shared" ca="1" si="11"/>
        <v>64.525927499999995</v>
      </c>
    </row>
    <row r="15" spans="1:47" x14ac:dyDescent="0.35">
      <c r="A15" s="2">
        <v>12</v>
      </c>
      <c r="B15" s="2">
        <v>428.98164717220601</v>
      </c>
      <c r="C15" s="2">
        <v>99.747812999999994</v>
      </c>
      <c r="E15" s="2">
        <v>12</v>
      </c>
      <c r="F15" s="2">
        <v>439.45694956492201</v>
      </c>
      <c r="G15" s="2">
        <v>102.897522</v>
      </c>
      <c r="I15" s="2">
        <v>12</v>
      </c>
      <c r="J15" s="2">
        <v>468.65718579443399</v>
      </c>
      <c r="K15" s="2">
        <v>9.7650729999999992</v>
      </c>
      <c r="M15" s="2">
        <v>12</v>
      </c>
      <c r="N15" s="2">
        <v>440.52928028641702</v>
      </c>
      <c r="O15" s="2">
        <v>122.089377</v>
      </c>
      <c r="Q15" s="2">
        <v>12</v>
      </c>
      <c r="R15" s="2">
        <v>496.42215477502901</v>
      </c>
      <c r="S15" s="2">
        <v>9.9888189999999994</v>
      </c>
      <c r="U15" s="2">
        <v>12</v>
      </c>
      <c r="V15" s="2">
        <v>498.730623805199</v>
      </c>
      <c r="W15" s="2">
        <v>9.7278640000000003</v>
      </c>
      <c r="Y15" s="4" t="s">
        <v>11</v>
      </c>
      <c r="Z15" s="4">
        <f t="shared" ca="1" si="0"/>
        <v>6641.3547382791203</v>
      </c>
      <c r="AA15" s="4">
        <f t="shared" ca="1" si="1"/>
        <v>3016.314961</v>
      </c>
      <c r="AC15" s="4" t="s">
        <v>11</v>
      </c>
      <c r="AD15" s="4">
        <f t="shared" ca="1" si="2"/>
        <v>7311.6338440814907</v>
      </c>
      <c r="AE15" s="4">
        <f t="shared" ca="1" si="3"/>
        <v>69.749150499999999</v>
      </c>
      <c r="AG15" s="4" t="s">
        <v>11</v>
      </c>
      <c r="AH15" s="4">
        <f t="shared" ca="1" si="4"/>
        <v>6660.7309706403148</v>
      </c>
      <c r="AI15" s="4">
        <f t="shared" ca="1" si="5"/>
        <v>3375.7865895</v>
      </c>
      <c r="AK15" s="4" t="s">
        <v>11</v>
      </c>
      <c r="AL15" s="4">
        <f t="shared" ca="1" si="6"/>
        <v>6777.1051749297203</v>
      </c>
      <c r="AM15" s="4">
        <f t="shared" ca="1" si="7"/>
        <v>4696.4879149999997</v>
      </c>
      <c r="AO15" s="4" t="s">
        <v>11</v>
      </c>
      <c r="AP15" s="4">
        <f t="shared" ca="1" si="8"/>
        <v>7501.8466411233057</v>
      </c>
      <c r="AQ15" s="4">
        <f t="shared" ca="1" si="9"/>
        <v>70.689876999999996</v>
      </c>
      <c r="AS15" s="4" t="s">
        <v>11</v>
      </c>
      <c r="AT15" s="4">
        <f t="shared" ca="1" si="10"/>
        <v>7814.9867625909201</v>
      </c>
      <c r="AU15" s="4">
        <f t="shared" ca="1" si="11"/>
        <v>70.751987499999998</v>
      </c>
    </row>
    <row r="16" spans="1:47" x14ac:dyDescent="0.35">
      <c r="A16" s="2">
        <v>13</v>
      </c>
      <c r="B16" s="2">
        <v>429.53028334169898</v>
      </c>
      <c r="C16" s="2">
        <v>99.640431000000007</v>
      </c>
      <c r="E16" s="2">
        <v>13</v>
      </c>
      <c r="F16" s="2">
        <v>437.75401804153699</v>
      </c>
      <c r="G16" s="2">
        <v>102.752256</v>
      </c>
      <c r="I16" s="2">
        <v>13</v>
      </c>
      <c r="J16" s="2">
        <v>443.10594963492701</v>
      </c>
      <c r="K16" s="2">
        <v>9.7218850000000003</v>
      </c>
      <c r="M16" s="2">
        <v>13</v>
      </c>
      <c r="N16" s="2">
        <v>454.02021911537003</v>
      </c>
      <c r="O16" s="2">
        <v>120.79271199999999</v>
      </c>
      <c r="Q16" s="2">
        <v>13</v>
      </c>
      <c r="R16" s="2">
        <v>506.25843004173902</v>
      </c>
      <c r="S16" s="2">
        <v>9.2573539999999994</v>
      </c>
      <c r="U16" s="2">
        <v>13</v>
      </c>
      <c r="V16" s="2">
        <v>490.11381533075502</v>
      </c>
      <c r="W16" s="2">
        <v>8.8648609999999994</v>
      </c>
      <c r="Y16" s="4" t="s">
        <v>12</v>
      </c>
      <c r="Z16" s="4">
        <f t="shared" ca="1" si="0"/>
        <v>74682.961406827599</v>
      </c>
      <c r="AA16" s="4">
        <f t="shared" ca="1" si="1"/>
        <v>3733.6881384999997</v>
      </c>
      <c r="AC16" s="4" t="s">
        <v>12</v>
      </c>
      <c r="AD16" s="4">
        <f t="shared" ca="1" si="2"/>
        <v>87021.400133302101</v>
      </c>
      <c r="AE16" s="4">
        <f t="shared" ca="1" si="3"/>
        <v>73.068366999999995</v>
      </c>
      <c r="AG16" s="4" t="s">
        <v>12</v>
      </c>
      <c r="AH16" s="4">
        <f t="shared" ca="1" si="4"/>
        <v>74381.47122819064</v>
      </c>
      <c r="AI16" s="4">
        <f t="shared" ca="1" si="5"/>
        <v>3783.7961500000001</v>
      </c>
      <c r="AK16" s="4" t="s">
        <v>12</v>
      </c>
      <c r="AL16" s="4">
        <f t="shared" ca="1" si="6"/>
        <v>76578.816503676237</v>
      </c>
      <c r="AM16" s="4">
        <f t="shared" ca="1" si="7"/>
        <v>5348.2091555000006</v>
      </c>
      <c r="AO16" s="4" t="s">
        <v>12</v>
      </c>
      <c r="AP16" s="4">
        <f t="shared" ca="1" si="8"/>
        <v>80902.138009252492</v>
      </c>
      <c r="AQ16" s="4">
        <f t="shared" ca="1" si="9"/>
        <v>72.810170499999998</v>
      </c>
      <c r="AS16" s="4" t="s">
        <v>12</v>
      </c>
      <c r="AT16" s="4">
        <f t="shared" ca="1" si="10"/>
        <v>86216.966574482707</v>
      </c>
      <c r="AU16" s="4">
        <f t="shared" ca="1" si="11"/>
        <v>71.674984999999992</v>
      </c>
    </row>
    <row r="17" spans="1:47" x14ac:dyDescent="0.35">
      <c r="A17" s="2">
        <v>14</v>
      </c>
      <c r="B17" s="2">
        <v>438.84437138415097</v>
      </c>
      <c r="C17" s="2">
        <v>97.528274999999994</v>
      </c>
      <c r="E17" s="2">
        <v>14</v>
      </c>
      <c r="F17" s="2">
        <v>451.37229628775401</v>
      </c>
      <c r="G17" s="2">
        <v>101.93754</v>
      </c>
      <c r="I17" s="2">
        <v>14</v>
      </c>
      <c r="J17" s="2">
        <v>476.24398370212901</v>
      </c>
      <c r="K17" s="2">
        <v>9.7518639999999994</v>
      </c>
      <c r="M17" s="2">
        <v>14</v>
      </c>
      <c r="N17" s="2">
        <v>453.04719480943601</v>
      </c>
      <c r="O17" s="2">
        <v>121.285775</v>
      </c>
      <c r="Q17" s="2">
        <v>14</v>
      </c>
      <c r="R17" s="2">
        <v>513.24481210451995</v>
      </c>
      <c r="S17" s="2">
        <v>9.6733860000000007</v>
      </c>
      <c r="U17" s="2">
        <v>14</v>
      </c>
      <c r="V17" s="2">
        <v>457.79528992892</v>
      </c>
      <c r="W17" s="2">
        <v>9.2411799999999999</v>
      </c>
      <c r="Y17" s="4" t="s">
        <v>13</v>
      </c>
      <c r="Z17" s="4">
        <f t="shared" ca="1" si="0"/>
        <v>82626.163391815149</v>
      </c>
      <c r="AA17" s="4">
        <f t="shared" ca="1" si="1"/>
        <v>14149.6812195</v>
      </c>
      <c r="AC17" s="4" t="s">
        <v>13</v>
      </c>
      <c r="AD17" s="4">
        <f t="shared" ca="1" si="2"/>
        <v>96509.002503549505</v>
      </c>
      <c r="AE17" s="4">
        <f t="shared" ca="1" si="3"/>
        <v>153.1635445</v>
      </c>
      <c r="AG17" s="4" t="s">
        <v>13</v>
      </c>
      <c r="AH17" s="4">
        <f t="shared" ca="1" si="4"/>
        <v>81775.448311036555</v>
      </c>
      <c r="AI17" s="4">
        <f t="shared" ca="1" si="5"/>
        <v>14326.431815</v>
      </c>
      <c r="AK17" s="4" t="s">
        <v>13</v>
      </c>
      <c r="AL17" s="4">
        <f t="shared" ca="1" si="6"/>
        <v>85094.254438059099</v>
      </c>
      <c r="AM17" s="4">
        <f t="shared" ca="1" si="7"/>
        <v>21642.762490000001</v>
      </c>
      <c r="AO17" s="4" t="s">
        <v>13</v>
      </c>
      <c r="AP17" s="4">
        <f t="shared" ca="1" si="8"/>
        <v>93849.958493330851</v>
      </c>
      <c r="AQ17" s="4">
        <f t="shared" ca="1" si="9"/>
        <v>153.19221400000001</v>
      </c>
      <c r="AS17" s="4" t="s">
        <v>13</v>
      </c>
      <c r="AT17" s="4">
        <f t="shared" ca="1" si="10"/>
        <v>98121.06937150404</v>
      </c>
      <c r="AU17" s="4">
        <f t="shared" ca="1" si="11"/>
        <v>152.3373</v>
      </c>
    </row>
    <row r="18" spans="1:47" x14ac:dyDescent="0.35">
      <c r="A18" s="2">
        <v>15</v>
      </c>
      <c r="B18" s="2">
        <v>434.43808248476898</v>
      </c>
      <c r="C18" s="2">
        <v>97.565872999999996</v>
      </c>
      <c r="E18" s="2">
        <v>15</v>
      </c>
      <c r="F18" s="2">
        <v>434.750703166493</v>
      </c>
      <c r="G18" s="2">
        <v>103.442104</v>
      </c>
      <c r="I18" s="2">
        <v>15</v>
      </c>
      <c r="J18" s="2">
        <v>455.92926607240503</v>
      </c>
      <c r="K18" s="2">
        <v>9.789453</v>
      </c>
      <c r="M18" s="2">
        <v>15</v>
      </c>
      <c r="N18" s="2">
        <v>455.94639557300098</v>
      </c>
      <c r="O18" s="2">
        <v>120.40077100000001</v>
      </c>
      <c r="Q18" s="2">
        <v>15</v>
      </c>
      <c r="R18" s="2">
        <v>516.89978255071003</v>
      </c>
      <c r="S18" s="2">
        <v>9.6183270000000007</v>
      </c>
      <c r="U18" s="2">
        <v>15</v>
      </c>
      <c r="V18" s="2">
        <v>459.702637391564</v>
      </c>
      <c r="W18" s="2">
        <v>9.5683819999999997</v>
      </c>
      <c r="Y18" s="4" t="s">
        <v>24</v>
      </c>
      <c r="Z18" s="4">
        <f t="shared" ca="1" si="0"/>
        <v>720.86378619978404</v>
      </c>
      <c r="AA18" s="4">
        <f t="shared" ca="1" si="1"/>
        <v>2277.7803269999999</v>
      </c>
      <c r="AC18" s="4" t="s">
        <v>24</v>
      </c>
      <c r="AD18" s="4">
        <f t="shared" ca="1" si="2"/>
        <v>843.91592348279335</v>
      </c>
      <c r="AE18" s="4">
        <f t="shared" ca="1" si="3"/>
        <v>68.505192499999993</v>
      </c>
      <c r="AG18" s="4" t="s">
        <v>24</v>
      </c>
      <c r="AH18" s="4">
        <f t="shared" ca="1" si="4"/>
        <v>723.38950807906622</v>
      </c>
      <c r="AI18" s="4">
        <f t="shared" ca="1" si="5"/>
        <v>2186.9837459999999</v>
      </c>
      <c r="AK18" s="4" t="s">
        <v>24</v>
      </c>
      <c r="AL18" s="4">
        <f t="shared" ca="1" si="6"/>
        <v>764.94524594188124</v>
      </c>
      <c r="AM18" s="4">
        <f t="shared" ca="1" si="7"/>
        <v>3723.3828780000003</v>
      </c>
      <c r="AO18" s="4" t="s">
        <v>24</v>
      </c>
      <c r="AP18" s="4">
        <f t="shared" ca="1" si="8"/>
        <v>902.46414794215741</v>
      </c>
      <c r="AQ18" s="4">
        <f t="shared" ca="1" si="9"/>
        <v>67.1899485</v>
      </c>
      <c r="AS18" s="4" t="s">
        <v>24</v>
      </c>
      <c r="AT18" s="4">
        <f t="shared" ca="1" si="10"/>
        <v>876.81668700700834</v>
      </c>
      <c r="AU18" s="4">
        <f t="shared" ca="1" si="11"/>
        <v>67.033977499999992</v>
      </c>
    </row>
    <row r="19" spans="1:47" x14ac:dyDescent="0.35">
      <c r="A19" s="2">
        <v>16</v>
      </c>
      <c r="B19" s="2">
        <v>436.28424655816099</v>
      </c>
      <c r="C19" s="2">
        <v>100.08048100000001</v>
      </c>
      <c r="E19" s="2">
        <v>16</v>
      </c>
      <c r="F19" s="2">
        <v>440.71347335340101</v>
      </c>
      <c r="G19" s="2">
        <v>99.884450999999999</v>
      </c>
      <c r="I19" s="2">
        <v>16</v>
      </c>
      <c r="J19" s="2">
        <v>480.46873014146399</v>
      </c>
      <c r="K19" s="2">
        <v>9.9919440000000002</v>
      </c>
      <c r="M19" s="2">
        <v>16</v>
      </c>
      <c r="N19" s="2">
        <v>456.51789993970601</v>
      </c>
      <c r="O19" s="2">
        <v>121.133381</v>
      </c>
      <c r="Q19" s="2">
        <v>16</v>
      </c>
      <c r="R19" s="2">
        <v>507.14899621817898</v>
      </c>
      <c r="S19" s="2">
        <v>9.6400679999999994</v>
      </c>
      <c r="U19" s="2">
        <v>16</v>
      </c>
      <c r="V19" s="2">
        <v>454.61012917163299</v>
      </c>
      <c r="W19" s="2">
        <v>9.2794530000000002</v>
      </c>
      <c r="Y19" s="4" t="s">
        <v>25</v>
      </c>
      <c r="Z19" s="4">
        <f t="shared" ca="1" si="0"/>
        <v>687.56807626697173</v>
      </c>
      <c r="AA19" s="4">
        <f t="shared" ca="1" si="1"/>
        <v>287.58897949999999</v>
      </c>
      <c r="AC19" s="4" t="s">
        <v>25</v>
      </c>
      <c r="AD19" s="4">
        <f t="shared" ca="1" si="2"/>
        <v>763.82213478773269</v>
      </c>
      <c r="AE19" s="4">
        <f t="shared" ca="1" si="3"/>
        <v>20.206831999999999</v>
      </c>
      <c r="AG19" s="4" t="s">
        <v>25</v>
      </c>
      <c r="AH19" s="4">
        <f t="shared" ca="1" si="4"/>
        <v>694.02942932229689</v>
      </c>
      <c r="AI19" s="4">
        <f t="shared" ca="1" si="5"/>
        <v>257.86415049999999</v>
      </c>
      <c r="AK19" s="4" t="s">
        <v>25</v>
      </c>
      <c r="AL19" s="4">
        <f t="shared" ca="1" si="6"/>
        <v>720.3281571554146</v>
      </c>
      <c r="AM19" s="4">
        <f t="shared" ca="1" si="7"/>
        <v>361.7831195</v>
      </c>
      <c r="AO19" s="4" t="s">
        <v>25</v>
      </c>
      <c r="AP19" s="4">
        <f t="shared" ca="1" si="8"/>
        <v>784.98734411479268</v>
      </c>
      <c r="AQ19" s="4">
        <f t="shared" ca="1" si="9"/>
        <v>19.5226355</v>
      </c>
      <c r="AS19" s="4" t="s">
        <v>25</v>
      </c>
      <c r="AT19" s="4">
        <f t="shared" ca="1" si="10"/>
        <v>794.3699404674669</v>
      </c>
      <c r="AU19" s="4">
        <f t="shared" ca="1" si="11"/>
        <v>19.523401499999999</v>
      </c>
    </row>
    <row r="20" spans="1:47" x14ac:dyDescent="0.35">
      <c r="A20" s="2">
        <v>17</v>
      </c>
      <c r="B20" s="2">
        <v>436.19852590754999</v>
      </c>
      <c r="C20" s="2">
        <v>99.153779999999998</v>
      </c>
      <c r="E20" s="2">
        <v>17</v>
      </c>
      <c r="F20" s="2">
        <v>438.499924796703</v>
      </c>
      <c r="G20" s="2">
        <v>103.356531</v>
      </c>
      <c r="I20" s="2">
        <v>17</v>
      </c>
      <c r="J20" s="2">
        <v>458.95233353540601</v>
      </c>
      <c r="K20" s="2">
        <v>8.8333410000000008</v>
      </c>
      <c r="M20" s="2">
        <v>17</v>
      </c>
      <c r="N20" s="2">
        <v>458.28190301247901</v>
      </c>
      <c r="O20" s="2">
        <v>122.207994</v>
      </c>
      <c r="Q20" s="2">
        <v>17</v>
      </c>
      <c r="R20" s="2">
        <v>496.42215477502901</v>
      </c>
      <c r="S20" s="2">
        <v>9.2332859999999997</v>
      </c>
      <c r="U20" s="2">
        <v>17</v>
      </c>
      <c r="V20" s="2">
        <v>476.24882468763701</v>
      </c>
      <c r="W20" s="2">
        <v>9.678369</v>
      </c>
      <c r="Y20" s="4" t="s">
        <v>26</v>
      </c>
      <c r="Z20" s="4">
        <f t="shared" ca="1" si="0"/>
        <v>42944.112977025936</v>
      </c>
      <c r="AA20" s="4">
        <f t="shared" ca="1" si="1"/>
        <v>4552.7502220000006</v>
      </c>
      <c r="AC20" s="4" t="s">
        <v>26</v>
      </c>
      <c r="AD20" s="4">
        <f t="shared" ca="1" si="2"/>
        <v>51550.593270049387</v>
      </c>
      <c r="AE20" s="4">
        <f t="shared" ca="1" si="3"/>
        <v>90.729309000000001</v>
      </c>
      <c r="AG20" s="4" t="s">
        <v>26</v>
      </c>
      <c r="AH20" s="4">
        <f t="shared" ca="1" si="4"/>
        <v>43220.950693089617</v>
      </c>
      <c r="AI20" s="4">
        <f t="shared" ca="1" si="5"/>
        <v>4131.1410274999998</v>
      </c>
      <c r="AK20" s="4" t="s">
        <v>26</v>
      </c>
      <c r="AL20" s="4">
        <f t="shared" ca="1" si="6"/>
        <v>45914.89259718539</v>
      </c>
      <c r="AM20" s="4">
        <f t="shared" ca="1" si="7"/>
        <v>6971.8684704999996</v>
      </c>
      <c r="AO20" s="4" t="s">
        <v>26</v>
      </c>
      <c r="AP20" s="4">
        <f t="shared" ca="1" si="8"/>
        <v>52555.410756695848</v>
      </c>
      <c r="AQ20" s="4">
        <f t="shared" ca="1" si="9"/>
        <v>88.879691500000007</v>
      </c>
      <c r="AS20" s="4" t="s">
        <v>26</v>
      </c>
      <c r="AT20" s="4">
        <f t="shared" ca="1" si="10"/>
        <v>50906.020149023054</v>
      </c>
      <c r="AU20" s="4">
        <f t="shared" ca="1" si="11"/>
        <v>89.1688355</v>
      </c>
    </row>
    <row r="21" spans="1:47" x14ac:dyDescent="0.35">
      <c r="A21" s="2">
        <v>18</v>
      </c>
      <c r="B21" s="2">
        <v>430.89035660275403</v>
      </c>
      <c r="C21" s="2">
        <v>97.962238999999997</v>
      </c>
      <c r="E21" s="2">
        <v>18</v>
      </c>
      <c r="F21" s="2">
        <v>433.20035518532302</v>
      </c>
      <c r="G21" s="2">
        <v>102.27006</v>
      </c>
      <c r="I21" s="2">
        <v>18</v>
      </c>
      <c r="J21" s="2">
        <v>453.483379045596</v>
      </c>
      <c r="K21" s="2">
        <v>9.0794479999999993</v>
      </c>
      <c r="M21" s="2">
        <v>18</v>
      </c>
      <c r="N21" s="2">
        <v>466.54968778478599</v>
      </c>
      <c r="O21" s="2">
        <v>119.214022</v>
      </c>
      <c r="Q21" s="2">
        <v>18</v>
      </c>
      <c r="R21" s="2">
        <v>512.96499529390496</v>
      </c>
      <c r="S21" s="2">
        <v>9.8226600000000008</v>
      </c>
      <c r="U21" s="2">
        <v>18</v>
      </c>
      <c r="V21" s="2">
        <v>488.394379890724</v>
      </c>
      <c r="W21" s="2">
        <v>9.8250379999999993</v>
      </c>
      <c r="Y21" s="4" t="s">
        <v>27</v>
      </c>
      <c r="Z21" s="4">
        <f t="shared" ca="1" si="0"/>
        <v>33900.371331739538</v>
      </c>
      <c r="AA21" s="4">
        <f t="shared" ca="1" si="1"/>
        <v>93.188093499999994</v>
      </c>
      <c r="AC21" s="4" t="s">
        <v>27</v>
      </c>
      <c r="AD21" s="4">
        <f t="shared" ca="1" si="2"/>
        <v>36856.076954929755</v>
      </c>
      <c r="AE21" s="4">
        <f t="shared" ca="1" si="3"/>
        <v>10.274706500000001</v>
      </c>
      <c r="AG21" s="4" t="s">
        <v>27</v>
      </c>
      <c r="AH21" s="4">
        <f t="shared" ca="1" si="4"/>
        <v>33917.839588786723</v>
      </c>
      <c r="AI21" s="4">
        <f t="shared" ca="1" si="5"/>
        <v>87.014758499999999</v>
      </c>
      <c r="AK21" s="4" t="s">
        <v>27</v>
      </c>
      <c r="AL21" s="4">
        <f t="shared" ca="1" si="6"/>
        <v>35716.39819424411</v>
      </c>
      <c r="AM21" s="4">
        <f t="shared" ca="1" si="7"/>
        <v>109.20367</v>
      </c>
      <c r="AO21" s="4" t="s">
        <v>27</v>
      </c>
      <c r="AP21" s="4">
        <f t="shared" ca="1" si="8"/>
        <v>39246.407585480709</v>
      </c>
      <c r="AQ21" s="4">
        <f t="shared" ca="1" si="9"/>
        <v>10.077330499999999</v>
      </c>
      <c r="AS21" s="4" t="s">
        <v>27</v>
      </c>
      <c r="AT21" s="4">
        <f t="shared" ca="1" si="10"/>
        <v>36980.428979270298</v>
      </c>
      <c r="AU21" s="4">
        <f t="shared" ca="1" si="11"/>
        <v>10.016138999999999</v>
      </c>
    </row>
    <row r="22" spans="1:47" x14ac:dyDescent="0.35">
      <c r="A22" s="2">
        <v>19</v>
      </c>
      <c r="B22" s="2">
        <v>433.186244960274</v>
      </c>
      <c r="C22" s="2">
        <v>99.488641999999999</v>
      </c>
      <c r="E22" s="2">
        <v>19</v>
      </c>
      <c r="F22" s="2">
        <v>440.55067361116699</v>
      </c>
      <c r="G22" s="2">
        <v>103.656904</v>
      </c>
      <c r="I22" s="2">
        <v>19</v>
      </c>
      <c r="J22" s="2">
        <v>450.70040175573098</v>
      </c>
      <c r="K22" s="2">
        <v>9.9232410000000009</v>
      </c>
      <c r="M22" s="2">
        <v>19</v>
      </c>
      <c r="N22" s="2">
        <v>456.26172265425799</v>
      </c>
      <c r="O22" s="2">
        <v>121.78413</v>
      </c>
      <c r="Q22" s="2">
        <v>19</v>
      </c>
      <c r="R22" s="2">
        <v>505.06128417152502</v>
      </c>
      <c r="S22" s="2">
        <v>9.7705579999999994</v>
      </c>
      <c r="U22" s="2">
        <v>19</v>
      </c>
      <c r="V22" s="2">
        <v>489.43163323823802</v>
      </c>
      <c r="W22" s="2">
        <v>9.8047979999999999</v>
      </c>
      <c r="Y22" s="4" t="s">
        <v>28</v>
      </c>
      <c r="Z22" s="4">
        <f t="shared" ca="1" si="0"/>
        <v>521.9280826253173</v>
      </c>
      <c r="AA22" s="4">
        <f t="shared" ca="1" si="1"/>
        <v>717.86215749999997</v>
      </c>
      <c r="AC22" s="4" t="s">
        <v>28</v>
      </c>
      <c r="AD22" s="4">
        <f t="shared" ca="1" si="2"/>
        <v>599.28304438086661</v>
      </c>
      <c r="AE22" s="4">
        <f t="shared" ca="1" si="3"/>
        <v>35.075378000000001</v>
      </c>
      <c r="AG22" s="4" t="s">
        <v>28</v>
      </c>
      <c r="AH22" s="4">
        <f t="shared" ca="1" si="4"/>
        <v>521.85121398148863</v>
      </c>
      <c r="AI22" s="4">
        <f t="shared" ca="1" si="5"/>
        <v>676.87580149999997</v>
      </c>
      <c r="AK22" s="4" t="s">
        <v>28</v>
      </c>
      <c r="AL22" s="4">
        <f t="shared" ca="1" si="6"/>
        <v>550.44028505583947</v>
      </c>
      <c r="AM22" s="4">
        <f t="shared" ca="1" si="7"/>
        <v>1030.9466904999999</v>
      </c>
      <c r="AO22" s="4" t="s">
        <v>28</v>
      </c>
      <c r="AP22" s="4">
        <f t="shared" ca="1" si="8"/>
        <v>625.8834881056481</v>
      </c>
      <c r="AQ22" s="4">
        <f t="shared" ca="1" si="9"/>
        <v>34.5432785</v>
      </c>
      <c r="AS22" s="4" t="s">
        <v>28</v>
      </c>
      <c r="AT22" s="4">
        <f t="shared" ca="1" si="10"/>
        <v>596.77055021597926</v>
      </c>
      <c r="AU22" s="4">
        <f t="shared" ca="1" si="11"/>
        <v>34.4943065</v>
      </c>
    </row>
    <row r="23" spans="1:47" x14ac:dyDescent="0.35">
      <c r="A23" s="2">
        <v>20</v>
      </c>
      <c r="B23" s="2">
        <v>431.10323765840599</v>
      </c>
      <c r="C23" s="2">
        <v>101.292233</v>
      </c>
      <c r="E23" s="2">
        <v>20</v>
      </c>
      <c r="F23" s="2">
        <v>435.150520964718</v>
      </c>
      <c r="G23" s="2">
        <v>101.590087</v>
      </c>
      <c r="I23" s="2">
        <v>20</v>
      </c>
      <c r="J23" s="2">
        <v>475.58154255939098</v>
      </c>
      <c r="K23" s="2">
        <v>9.8513149999999996</v>
      </c>
      <c r="M23" s="2">
        <v>20</v>
      </c>
      <c r="N23" s="2">
        <v>457.918278644152</v>
      </c>
      <c r="O23" s="2">
        <v>120.334295</v>
      </c>
      <c r="Q23" s="2">
        <v>20</v>
      </c>
      <c r="R23" s="2">
        <v>513.61000688472302</v>
      </c>
      <c r="S23" s="2">
        <v>9.7441359999999992</v>
      </c>
      <c r="U23" s="2">
        <v>20</v>
      </c>
      <c r="V23" s="2">
        <v>505.49796220934297</v>
      </c>
      <c r="W23" s="2">
        <v>9.3667490000000004</v>
      </c>
      <c r="Y23" s="4" t="s">
        <v>29</v>
      </c>
      <c r="Z23" s="4">
        <f t="shared" ca="1" si="0"/>
        <v>1246.0403155946856</v>
      </c>
      <c r="AA23" s="4">
        <f t="shared" ca="1" si="1"/>
        <v>740.73487999999998</v>
      </c>
      <c r="AC23" s="4" t="s">
        <v>29</v>
      </c>
      <c r="AD23" s="4">
        <f t="shared" ca="1" si="2"/>
        <v>1404.2501088822514</v>
      </c>
      <c r="AE23" s="4">
        <f t="shared" ca="1" si="3"/>
        <v>37.230964</v>
      </c>
      <c r="AG23" s="4" t="s">
        <v>29</v>
      </c>
      <c r="AH23" s="4">
        <f t="shared" ca="1" si="4"/>
        <v>1250.0203760101729</v>
      </c>
      <c r="AI23" s="4">
        <f t="shared" ca="1" si="5"/>
        <v>768.9045155</v>
      </c>
      <c r="AK23" s="4" t="s">
        <v>29</v>
      </c>
      <c r="AL23" s="4">
        <f t="shared" ca="1" si="6"/>
        <v>1273.1936168740312</v>
      </c>
      <c r="AM23" s="4">
        <f t="shared" ca="1" si="7"/>
        <v>1126.5389645</v>
      </c>
      <c r="AO23" s="4" t="s">
        <v>29</v>
      </c>
      <c r="AP23" s="4">
        <f t="shared" ca="1" si="8"/>
        <v>1403.703520100235</v>
      </c>
      <c r="AQ23" s="4">
        <f t="shared" ca="1" si="9"/>
        <v>36.515770000000003</v>
      </c>
      <c r="AS23" s="4" t="s">
        <v>29</v>
      </c>
      <c r="AT23" s="4">
        <f t="shared" ca="1" si="10"/>
        <v>1455.8007056878232</v>
      </c>
      <c r="AU23" s="4">
        <f t="shared" ca="1" si="11"/>
        <v>36.704136500000004</v>
      </c>
    </row>
    <row r="24" spans="1:47" x14ac:dyDescent="0.35">
      <c r="A24" s="3" t="s">
        <v>19</v>
      </c>
      <c r="B24" s="3">
        <f>AVERAGE(B4:B23)</f>
        <v>434.88993470302069</v>
      </c>
      <c r="C24" s="3">
        <f>AVERAGE(C4:C23)</f>
        <v>99.676481899999985</v>
      </c>
      <c r="D24" s="3"/>
      <c r="E24" s="3"/>
      <c r="F24" s="3">
        <f>AVERAGE(F4:F23)</f>
        <v>436.3467317906846</v>
      </c>
      <c r="G24" s="3">
        <f>AVERAGE(G4:G23)</f>
        <v>102.52785199999998</v>
      </c>
      <c r="H24" s="3"/>
      <c r="I24" s="3"/>
      <c r="J24" s="3">
        <f>AVERAGE(J4:J23)</f>
        <v>463.25475370650037</v>
      </c>
      <c r="K24" s="3">
        <f>AVERAGE(K4:K23)</f>
        <v>9.5939717499999979</v>
      </c>
      <c r="L24" s="3"/>
      <c r="M24" s="3"/>
      <c r="N24" s="3">
        <f>AVERAGE(N4:N23)</f>
        <v>457.43972490577352</v>
      </c>
      <c r="O24" s="3">
        <f>AVERAGE(O4:O23)</f>
        <v>120.88007245000001</v>
      </c>
      <c r="P24" s="3"/>
      <c r="Q24" s="3"/>
      <c r="R24" s="3">
        <f>AVERAGE(R4:R23)</f>
        <v>510.05253192621086</v>
      </c>
      <c r="S24" s="3">
        <f>AVERAGE(S4:S23)</f>
        <v>9.5660050499999993</v>
      </c>
      <c r="T24" s="3"/>
      <c r="U24" s="3"/>
      <c r="V24" s="3">
        <f>AVERAGE(V4:V23)</f>
        <v>478.05141069769496</v>
      </c>
      <c r="W24" s="3">
        <f>AVERAGE(W4:W23)</f>
        <v>9.5341328500000007</v>
      </c>
      <c r="X24" s="3"/>
    </row>
    <row r="25" spans="1:47" x14ac:dyDescent="0.35">
      <c r="A25" s="2" t="s">
        <v>36</v>
      </c>
      <c r="B25" s="2" cm="1">
        <f t="array" ref="B25">[1]!SignTest(B4:B23,F4:F23,2)</f>
        <v>0.50344467163085949</v>
      </c>
      <c r="C25" s="2" cm="1">
        <f t="array" ref="C25">[1]!SignTest(C4:C23,G4:G23,2)</f>
        <v>4.00543212890625E-5</v>
      </c>
    </row>
    <row r="26" spans="1:47" ht="21" x14ac:dyDescent="0.5">
      <c r="A26" s="10" t="s">
        <v>1</v>
      </c>
      <c r="B26" s="10"/>
      <c r="C26" s="10"/>
      <c r="E26" s="10" t="s">
        <v>1</v>
      </c>
      <c r="F26" s="10"/>
      <c r="G26" s="10"/>
      <c r="H26" s="1"/>
      <c r="I26" s="10" t="s">
        <v>1</v>
      </c>
      <c r="J26" s="10"/>
      <c r="K26" s="10"/>
      <c r="L26" s="1"/>
      <c r="M26" s="10" t="s">
        <v>1</v>
      </c>
      <c r="N26" s="10"/>
      <c r="O26" s="10"/>
      <c r="P26" s="1"/>
      <c r="Q26" s="10" t="s">
        <v>1</v>
      </c>
      <c r="R26" s="10"/>
      <c r="S26" s="10"/>
      <c r="T26" s="1"/>
      <c r="U26" s="10" t="s">
        <v>1</v>
      </c>
      <c r="V26" s="10"/>
      <c r="W26" s="10"/>
      <c r="X26" s="1"/>
    </row>
    <row r="27" spans="1:47" x14ac:dyDescent="0.35">
      <c r="A27" s="2" t="s">
        <v>15</v>
      </c>
      <c r="B27" s="2" t="s">
        <v>16</v>
      </c>
      <c r="C27" s="2" t="s">
        <v>17</v>
      </c>
      <c r="E27" s="2" t="s">
        <v>15</v>
      </c>
      <c r="F27" s="2" t="s">
        <v>16</v>
      </c>
      <c r="G27" s="2" t="s">
        <v>17</v>
      </c>
      <c r="I27" s="2" t="s">
        <v>15</v>
      </c>
      <c r="J27" s="2" t="s">
        <v>16</v>
      </c>
      <c r="K27" s="2" t="s">
        <v>17</v>
      </c>
      <c r="M27" s="2" t="s">
        <v>15</v>
      </c>
      <c r="N27" s="2" t="s">
        <v>16</v>
      </c>
      <c r="O27" s="2" t="s">
        <v>17</v>
      </c>
      <c r="Q27" s="2" t="s">
        <v>15</v>
      </c>
      <c r="R27" s="2" t="s">
        <v>16</v>
      </c>
      <c r="S27" s="2" t="s">
        <v>17</v>
      </c>
      <c r="U27" s="2" t="s">
        <v>15</v>
      </c>
      <c r="V27" s="2" t="s">
        <v>16</v>
      </c>
      <c r="W27" s="2" t="s">
        <v>17</v>
      </c>
    </row>
    <row r="28" spans="1:47" x14ac:dyDescent="0.35">
      <c r="A28" s="2">
        <v>1</v>
      </c>
      <c r="B28" s="2">
        <v>553.58148523249702</v>
      </c>
      <c r="C28" s="2">
        <v>336.349852</v>
      </c>
      <c r="E28" s="2">
        <v>1</v>
      </c>
      <c r="F28" s="2">
        <v>566.96494565255</v>
      </c>
      <c r="G28" s="2">
        <v>349.08580899999998</v>
      </c>
      <c r="I28" s="2">
        <v>1</v>
      </c>
      <c r="J28" s="2">
        <v>597.47610758608005</v>
      </c>
      <c r="K28" s="2">
        <v>20.335103</v>
      </c>
      <c r="M28" s="2">
        <v>1</v>
      </c>
      <c r="N28" s="2">
        <v>574.55762920237498</v>
      </c>
      <c r="O28" s="2">
        <v>433.22850699999998</v>
      </c>
      <c r="Q28" s="2">
        <v>1</v>
      </c>
      <c r="R28" s="2">
        <v>642.65457846409902</v>
      </c>
      <c r="S28" s="2">
        <v>19.825230999999999</v>
      </c>
      <c r="U28" s="2">
        <v>1</v>
      </c>
      <c r="V28" s="2">
        <v>604.43005216633696</v>
      </c>
      <c r="W28" s="2">
        <v>20.074362000000001</v>
      </c>
    </row>
    <row r="29" spans="1:47" x14ac:dyDescent="0.35">
      <c r="A29" s="2">
        <v>2</v>
      </c>
      <c r="B29" s="2">
        <v>553.83560768325196</v>
      </c>
      <c r="C29" s="2">
        <v>333.83041400000002</v>
      </c>
      <c r="E29" s="2">
        <v>2</v>
      </c>
      <c r="F29" s="2">
        <v>555.537197582516</v>
      </c>
      <c r="G29" s="2">
        <v>350.306332</v>
      </c>
      <c r="I29" s="2">
        <v>2</v>
      </c>
      <c r="J29" s="2">
        <v>600.60979307872401</v>
      </c>
      <c r="K29" s="2">
        <v>19.962357000000001</v>
      </c>
      <c r="M29" s="2">
        <v>2</v>
      </c>
      <c r="N29" s="2">
        <v>593.73774317033201</v>
      </c>
      <c r="O29" s="2">
        <v>430.05453799999998</v>
      </c>
      <c r="Q29" s="2">
        <v>2</v>
      </c>
      <c r="R29" s="2">
        <v>626.50670409905001</v>
      </c>
      <c r="S29" s="2">
        <v>18.775938</v>
      </c>
      <c r="U29" s="2">
        <v>2</v>
      </c>
      <c r="V29" s="2">
        <v>609.73175400793002</v>
      </c>
      <c r="W29" s="2">
        <v>19.764779999999998</v>
      </c>
    </row>
    <row r="30" spans="1:47" x14ac:dyDescent="0.35">
      <c r="A30" s="2">
        <v>3</v>
      </c>
      <c r="B30" s="2">
        <v>563.68777184660996</v>
      </c>
      <c r="C30" s="2">
        <v>333.52247799999998</v>
      </c>
      <c r="E30" s="2">
        <v>3</v>
      </c>
      <c r="F30" s="2">
        <v>564.58722436692301</v>
      </c>
      <c r="G30" s="2">
        <v>349.06249300000002</v>
      </c>
      <c r="I30" s="2">
        <v>3</v>
      </c>
      <c r="J30" s="2">
        <v>611.34235179909797</v>
      </c>
      <c r="K30" s="2">
        <v>19.120605999999999</v>
      </c>
      <c r="M30" s="2">
        <v>3</v>
      </c>
      <c r="N30" s="2">
        <v>570.55197867612401</v>
      </c>
      <c r="O30" s="2">
        <v>431.63914299999999</v>
      </c>
      <c r="Q30" s="2">
        <v>3</v>
      </c>
      <c r="R30" s="2">
        <v>617.89976947414004</v>
      </c>
      <c r="S30" s="2">
        <v>18.235382000000001</v>
      </c>
      <c r="U30" s="2">
        <v>3</v>
      </c>
      <c r="V30" s="2">
        <v>632.19042768448298</v>
      </c>
      <c r="W30" s="2">
        <v>19.837316999999999</v>
      </c>
    </row>
    <row r="31" spans="1:47" x14ac:dyDescent="0.35">
      <c r="A31" s="2">
        <v>4</v>
      </c>
      <c r="B31" s="2">
        <v>554.59514714848603</v>
      </c>
      <c r="C31" s="2">
        <v>334.69870800000001</v>
      </c>
      <c r="E31" s="2">
        <v>4</v>
      </c>
      <c r="F31" s="2">
        <v>545.83141907488903</v>
      </c>
      <c r="G31" s="2">
        <v>350.09151300000002</v>
      </c>
      <c r="I31" s="2">
        <v>4</v>
      </c>
      <c r="J31" s="2">
        <v>606.57623037981296</v>
      </c>
      <c r="K31" s="2">
        <v>18.712409999999998</v>
      </c>
      <c r="M31" s="2">
        <v>4</v>
      </c>
      <c r="N31" s="2">
        <v>576.722015835006</v>
      </c>
      <c r="O31" s="2">
        <v>431.425117</v>
      </c>
      <c r="Q31" s="2">
        <v>4</v>
      </c>
      <c r="R31" s="2">
        <v>599.44421952524306</v>
      </c>
      <c r="S31" s="2">
        <v>19.033283999999998</v>
      </c>
      <c r="U31" s="2">
        <v>4</v>
      </c>
      <c r="V31" s="2">
        <v>640.20600962849801</v>
      </c>
      <c r="W31" s="2">
        <v>19.506416999999999</v>
      </c>
    </row>
    <row r="32" spans="1:47" x14ac:dyDescent="0.35">
      <c r="A32" s="2">
        <v>5</v>
      </c>
      <c r="B32" s="2">
        <v>556.05327247676303</v>
      </c>
      <c r="C32" s="2">
        <v>335.55794900000001</v>
      </c>
      <c r="E32" s="2">
        <v>5</v>
      </c>
      <c r="F32" s="2">
        <v>557.07763192422703</v>
      </c>
      <c r="G32" s="2">
        <v>349.48993200000001</v>
      </c>
      <c r="I32" s="2">
        <v>5</v>
      </c>
      <c r="J32" s="2">
        <v>584.60162259040101</v>
      </c>
      <c r="K32" s="2">
        <v>17.669101000000001</v>
      </c>
      <c r="M32" s="2">
        <v>5</v>
      </c>
      <c r="N32" s="2">
        <v>583.22236268333097</v>
      </c>
      <c r="O32" s="2">
        <v>429.63969300000002</v>
      </c>
      <c r="Q32" s="2">
        <v>5</v>
      </c>
      <c r="R32" s="2">
        <v>627.78337831220006</v>
      </c>
      <c r="S32" s="2">
        <v>20.129949</v>
      </c>
      <c r="U32" s="2">
        <v>5</v>
      </c>
      <c r="V32" s="2">
        <v>606.86866651802598</v>
      </c>
      <c r="W32" s="2">
        <v>20.324518000000001</v>
      </c>
    </row>
    <row r="33" spans="1:24" x14ac:dyDescent="0.35">
      <c r="A33" s="2">
        <v>6</v>
      </c>
      <c r="B33" s="2">
        <v>552.19385786759506</v>
      </c>
      <c r="C33" s="2">
        <v>331.46959900000002</v>
      </c>
      <c r="E33" s="2">
        <v>6</v>
      </c>
      <c r="F33" s="2">
        <v>569.09658207563598</v>
      </c>
      <c r="G33" s="2">
        <v>347.19709899999998</v>
      </c>
      <c r="I33" s="2">
        <v>6</v>
      </c>
      <c r="J33" s="2">
        <v>602.68780422950601</v>
      </c>
      <c r="K33" s="2">
        <v>19.873394999999999</v>
      </c>
      <c r="M33" s="2">
        <v>6</v>
      </c>
      <c r="N33" s="2">
        <v>562.85391486867502</v>
      </c>
      <c r="O33" s="2">
        <v>424.57631800000001</v>
      </c>
      <c r="Q33" s="2">
        <v>6</v>
      </c>
      <c r="R33" s="2">
        <v>626.50670409905001</v>
      </c>
      <c r="S33" s="2">
        <v>20.136393000000002</v>
      </c>
      <c r="U33" s="2">
        <v>6</v>
      </c>
      <c r="V33" s="2">
        <v>602.74075489645998</v>
      </c>
      <c r="W33" s="2">
        <v>19.333960999999999</v>
      </c>
    </row>
    <row r="34" spans="1:24" x14ac:dyDescent="0.35">
      <c r="A34" s="2">
        <v>7</v>
      </c>
      <c r="B34" s="2">
        <v>562.64509066731603</v>
      </c>
      <c r="C34" s="2">
        <v>330.27426600000001</v>
      </c>
      <c r="E34" s="2">
        <v>7</v>
      </c>
      <c r="F34" s="2">
        <v>564.90440210250802</v>
      </c>
      <c r="G34" s="2">
        <v>344.05410999999998</v>
      </c>
      <c r="I34" s="2">
        <v>7</v>
      </c>
      <c r="J34" s="2">
        <v>591.13557840199201</v>
      </c>
      <c r="K34" s="2">
        <v>19.351852000000001</v>
      </c>
      <c r="M34" s="2">
        <v>7</v>
      </c>
      <c r="N34" s="2">
        <v>575.08996948115703</v>
      </c>
      <c r="O34" s="2">
        <v>428.55529999999999</v>
      </c>
      <c r="Q34" s="2">
        <v>7</v>
      </c>
      <c r="R34" s="2">
        <v>630.07628230931095</v>
      </c>
      <c r="S34" s="2">
        <v>20.084761</v>
      </c>
      <c r="U34" s="2">
        <v>7</v>
      </c>
      <c r="V34" s="2">
        <v>642.68450274440102</v>
      </c>
      <c r="W34" s="2">
        <v>20.182001</v>
      </c>
    </row>
    <row r="35" spans="1:24" x14ac:dyDescent="0.35">
      <c r="A35" s="2">
        <v>8</v>
      </c>
      <c r="B35" s="2">
        <v>553.215754692666</v>
      </c>
      <c r="C35" s="2">
        <v>335.39495699999998</v>
      </c>
      <c r="E35" s="2">
        <v>8</v>
      </c>
      <c r="F35" s="2">
        <v>562.15262917471705</v>
      </c>
      <c r="G35" s="2">
        <v>348.33916199999999</v>
      </c>
      <c r="I35" s="2">
        <v>8</v>
      </c>
      <c r="J35" s="2">
        <v>609.05681797324496</v>
      </c>
      <c r="K35" s="2">
        <v>19.867536000000001</v>
      </c>
      <c r="M35" s="2">
        <v>8</v>
      </c>
      <c r="N35" s="2">
        <v>605.74191423520006</v>
      </c>
      <c r="O35" s="2">
        <v>426.41997099999998</v>
      </c>
      <c r="Q35" s="2">
        <v>8</v>
      </c>
      <c r="R35" s="2">
        <v>628.82921211675398</v>
      </c>
      <c r="S35" s="2">
        <v>19.540071999999999</v>
      </c>
      <c r="U35" s="2">
        <v>8</v>
      </c>
      <c r="V35" s="2">
        <v>594.95992730408705</v>
      </c>
      <c r="W35" s="2">
        <v>19.425484999999998</v>
      </c>
    </row>
    <row r="36" spans="1:24" x14ac:dyDescent="0.35">
      <c r="A36" s="2">
        <v>9</v>
      </c>
      <c r="B36" s="2">
        <v>557.440162490685</v>
      </c>
      <c r="C36" s="2">
        <v>326.27439099999998</v>
      </c>
      <c r="E36" s="2">
        <v>9</v>
      </c>
      <c r="F36" s="2">
        <v>558.00959444198395</v>
      </c>
      <c r="G36" s="2">
        <v>346.61897199999999</v>
      </c>
      <c r="I36" s="2">
        <v>9</v>
      </c>
      <c r="J36" s="2">
        <v>633.90222199928201</v>
      </c>
      <c r="K36" s="2">
        <v>20.063296000000001</v>
      </c>
      <c r="M36" s="2">
        <v>9</v>
      </c>
      <c r="N36" s="2">
        <v>569.66312812755405</v>
      </c>
      <c r="O36" s="2">
        <v>430.61855400000002</v>
      </c>
      <c r="Q36" s="2">
        <v>9</v>
      </c>
      <c r="R36" s="2">
        <v>629.33302551375095</v>
      </c>
      <c r="S36" s="2">
        <v>19.018823000000001</v>
      </c>
      <c r="U36" s="2">
        <v>9</v>
      </c>
      <c r="V36" s="2">
        <v>657.01073376407805</v>
      </c>
      <c r="W36" s="2">
        <v>19.900963999999998</v>
      </c>
    </row>
    <row r="37" spans="1:24" x14ac:dyDescent="0.35">
      <c r="A37" s="2">
        <v>10</v>
      </c>
      <c r="B37" s="2">
        <v>548.67839549426697</v>
      </c>
      <c r="C37" s="2">
        <v>325.63163200000002</v>
      </c>
      <c r="E37" s="2">
        <v>10</v>
      </c>
      <c r="F37" s="2">
        <v>547.37918767144799</v>
      </c>
      <c r="G37" s="2">
        <v>348.99884400000002</v>
      </c>
      <c r="I37" s="2">
        <v>10</v>
      </c>
      <c r="J37" s="2">
        <v>594.51659042206404</v>
      </c>
      <c r="K37" s="2">
        <v>20.058648999999999</v>
      </c>
      <c r="M37" s="2">
        <v>10</v>
      </c>
      <c r="N37" s="2">
        <v>559.52346230836997</v>
      </c>
      <c r="O37" s="2">
        <v>429.51674300000002</v>
      </c>
      <c r="Q37" s="2">
        <v>10</v>
      </c>
      <c r="R37" s="2">
        <v>638.060918057957</v>
      </c>
      <c r="S37" s="2">
        <v>17.977029000000002</v>
      </c>
      <c r="U37" s="2">
        <v>10</v>
      </c>
      <c r="V37" s="2">
        <v>648.57722979111395</v>
      </c>
      <c r="W37" s="2">
        <v>18.967012</v>
      </c>
    </row>
    <row r="38" spans="1:24" x14ac:dyDescent="0.35">
      <c r="A38" s="2">
        <v>11</v>
      </c>
      <c r="B38" s="2">
        <v>550.18584574411102</v>
      </c>
      <c r="C38" s="2">
        <v>329.312454</v>
      </c>
      <c r="E38" s="2">
        <v>11</v>
      </c>
      <c r="F38" s="2">
        <v>566.67402754889395</v>
      </c>
      <c r="G38" s="2">
        <v>349.51874500000002</v>
      </c>
      <c r="I38" s="2">
        <v>11</v>
      </c>
      <c r="J38" s="2">
        <v>581.27502905058805</v>
      </c>
      <c r="K38" s="2">
        <v>19.730710999999999</v>
      </c>
      <c r="M38" s="2">
        <v>11</v>
      </c>
      <c r="N38" s="2">
        <v>596.02682124658895</v>
      </c>
      <c r="O38" s="2">
        <v>430.193262</v>
      </c>
      <c r="Q38" s="2">
        <v>11</v>
      </c>
      <c r="R38" s="2">
        <v>627.11362228200198</v>
      </c>
      <c r="S38" s="2">
        <v>19.284110999999999</v>
      </c>
      <c r="U38" s="2">
        <v>11</v>
      </c>
      <c r="V38" s="2">
        <v>590.24559444006798</v>
      </c>
      <c r="W38" s="2">
        <v>19.882052000000002</v>
      </c>
    </row>
    <row r="39" spans="1:24" x14ac:dyDescent="0.35">
      <c r="A39" s="2">
        <v>12</v>
      </c>
      <c r="B39" s="2">
        <v>557.43604411096703</v>
      </c>
      <c r="C39" s="2">
        <v>333.88642800000002</v>
      </c>
      <c r="E39" s="2">
        <v>12</v>
      </c>
      <c r="F39" s="2">
        <v>560.54210442511896</v>
      </c>
      <c r="G39" s="2">
        <v>347.92444799999998</v>
      </c>
      <c r="I39" s="2">
        <v>12</v>
      </c>
      <c r="J39" s="2">
        <v>597.76398011460901</v>
      </c>
      <c r="K39" s="2">
        <v>19.459247999999999</v>
      </c>
      <c r="M39" s="2">
        <v>12</v>
      </c>
      <c r="N39" s="2">
        <v>572.58712497423903</v>
      </c>
      <c r="O39" s="2">
        <v>431.315133</v>
      </c>
      <c r="Q39" s="2">
        <v>12</v>
      </c>
      <c r="R39" s="2">
        <v>629.24278088628205</v>
      </c>
      <c r="S39" s="2">
        <v>19.703059</v>
      </c>
      <c r="U39" s="2">
        <v>12</v>
      </c>
      <c r="V39" s="2">
        <v>596.03475555842601</v>
      </c>
      <c r="W39" s="2">
        <v>19.237290999999999</v>
      </c>
    </row>
    <row r="40" spans="1:24" x14ac:dyDescent="0.35">
      <c r="A40" s="2">
        <v>13</v>
      </c>
      <c r="B40" s="2">
        <v>559.66780997087096</v>
      </c>
      <c r="C40" s="2">
        <v>337.29294700000003</v>
      </c>
      <c r="E40" s="2">
        <v>13</v>
      </c>
      <c r="F40" s="2">
        <v>549.516084240748</v>
      </c>
      <c r="G40" s="2">
        <v>348.99168600000002</v>
      </c>
      <c r="I40" s="2">
        <v>13</v>
      </c>
      <c r="J40" s="2">
        <v>588.04582451737895</v>
      </c>
      <c r="K40" s="2">
        <v>19.817997999999999</v>
      </c>
      <c r="M40" s="2">
        <v>13</v>
      </c>
      <c r="N40" s="2">
        <v>575.08996948115703</v>
      </c>
      <c r="O40" s="2">
        <v>421.98153100000002</v>
      </c>
      <c r="Q40" s="2">
        <v>13</v>
      </c>
      <c r="R40" s="2">
        <v>631.00802748710498</v>
      </c>
      <c r="S40" s="2">
        <v>18.978517</v>
      </c>
      <c r="U40" s="2">
        <v>13</v>
      </c>
      <c r="V40" s="2">
        <v>612.79537098550099</v>
      </c>
      <c r="W40" s="2">
        <v>19.975394000000001</v>
      </c>
    </row>
    <row r="41" spans="1:24" x14ac:dyDescent="0.35">
      <c r="A41" s="2">
        <v>14</v>
      </c>
      <c r="B41" s="2">
        <v>558.77409272224895</v>
      </c>
      <c r="C41" s="2">
        <v>332.62155999999999</v>
      </c>
      <c r="E41" s="2">
        <v>14</v>
      </c>
      <c r="F41" s="2">
        <v>564.49995868238898</v>
      </c>
      <c r="G41" s="2">
        <v>343.02525800000001</v>
      </c>
      <c r="I41" s="2">
        <v>14</v>
      </c>
      <c r="J41" s="2">
        <v>579.61969130312502</v>
      </c>
      <c r="K41" s="2">
        <v>19.972360999999999</v>
      </c>
      <c r="M41" s="2">
        <v>14</v>
      </c>
      <c r="N41" s="2">
        <v>591.35798225658903</v>
      </c>
      <c r="O41" s="2">
        <v>428.47143799999998</v>
      </c>
      <c r="Q41" s="2">
        <v>14</v>
      </c>
      <c r="R41" s="2">
        <v>627.465762534139</v>
      </c>
      <c r="S41" s="2">
        <v>19.519271</v>
      </c>
      <c r="U41" s="2">
        <v>14</v>
      </c>
      <c r="V41" s="2">
        <v>613.41676546286499</v>
      </c>
      <c r="W41" s="2">
        <v>20.419339999999998</v>
      </c>
    </row>
    <row r="42" spans="1:24" x14ac:dyDescent="0.35">
      <c r="A42" s="2">
        <v>15</v>
      </c>
      <c r="B42" s="2">
        <v>562.22290357273005</v>
      </c>
      <c r="C42" s="2">
        <v>333.38605200000001</v>
      </c>
      <c r="E42" s="2">
        <v>15</v>
      </c>
      <c r="F42" s="2">
        <v>549.16834728235006</v>
      </c>
      <c r="G42" s="2">
        <v>349.97231299999999</v>
      </c>
      <c r="I42" s="2">
        <v>15</v>
      </c>
      <c r="J42" s="2">
        <v>601.46817156895804</v>
      </c>
      <c r="K42" s="2">
        <v>19.248342999999998</v>
      </c>
      <c r="M42" s="2">
        <v>15</v>
      </c>
      <c r="N42" s="2">
        <v>571.753883646188</v>
      </c>
      <c r="O42" s="2">
        <v>432.27679499999999</v>
      </c>
      <c r="Q42" s="2">
        <v>15</v>
      </c>
      <c r="R42" s="2">
        <v>626.62588083846003</v>
      </c>
      <c r="S42" s="2">
        <v>19.929155000000002</v>
      </c>
      <c r="U42" s="2">
        <v>15</v>
      </c>
      <c r="V42" s="2">
        <v>617.90827240688702</v>
      </c>
      <c r="W42" s="2">
        <v>19.820734999999999</v>
      </c>
    </row>
    <row r="43" spans="1:24" x14ac:dyDescent="0.35">
      <c r="A43" s="2">
        <v>16</v>
      </c>
      <c r="B43" s="2">
        <v>561.63724595880399</v>
      </c>
      <c r="C43" s="2">
        <v>334.03167500000001</v>
      </c>
      <c r="E43" s="2">
        <v>16</v>
      </c>
      <c r="F43" s="2">
        <v>569.54201582813198</v>
      </c>
      <c r="G43" s="2">
        <v>349.761912</v>
      </c>
      <c r="I43" s="2">
        <v>16</v>
      </c>
      <c r="J43" s="2">
        <v>613.30098809861397</v>
      </c>
      <c r="K43" s="2">
        <v>18.679290999999999</v>
      </c>
      <c r="M43" s="2">
        <v>16</v>
      </c>
      <c r="N43" s="2">
        <v>572.46474419470098</v>
      </c>
      <c r="O43" s="2">
        <v>429.76014900000001</v>
      </c>
      <c r="Q43" s="2">
        <v>16</v>
      </c>
      <c r="R43" s="2">
        <v>622.27620391652295</v>
      </c>
      <c r="S43" s="2">
        <v>19.840722</v>
      </c>
      <c r="U43" s="2">
        <v>16</v>
      </c>
      <c r="V43" s="2">
        <v>645.33249047390302</v>
      </c>
      <c r="W43" s="2">
        <v>18.648575000000001</v>
      </c>
    </row>
    <row r="44" spans="1:24" x14ac:dyDescent="0.35">
      <c r="A44" s="2">
        <v>17</v>
      </c>
      <c r="B44" s="2">
        <v>551.99925934217504</v>
      </c>
      <c r="C44" s="2">
        <v>331.167888</v>
      </c>
      <c r="E44" s="2">
        <v>17</v>
      </c>
      <c r="F44" s="2">
        <v>558.80764043544605</v>
      </c>
      <c r="G44" s="2">
        <v>348.36471699999998</v>
      </c>
      <c r="I44" s="2">
        <v>17</v>
      </c>
      <c r="J44" s="2">
        <v>611.83634557796699</v>
      </c>
      <c r="K44" s="2">
        <v>17.396899000000001</v>
      </c>
      <c r="M44" s="2">
        <v>17</v>
      </c>
      <c r="N44" s="2">
        <v>596.02682124658895</v>
      </c>
      <c r="O44" s="2">
        <v>428.43643300000002</v>
      </c>
      <c r="Q44" s="2">
        <v>17</v>
      </c>
      <c r="R44" s="2">
        <v>583.29377855106497</v>
      </c>
      <c r="S44" s="2">
        <v>20.077297999999999</v>
      </c>
      <c r="U44" s="2">
        <v>17</v>
      </c>
      <c r="V44" s="2">
        <v>661.117969276792</v>
      </c>
      <c r="W44" s="2">
        <v>19.347564999999999</v>
      </c>
    </row>
    <row r="45" spans="1:24" x14ac:dyDescent="0.35">
      <c r="A45" s="2">
        <v>18</v>
      </c>
      <c r="B45" s="2">
        <v>558.491845882598</v>
      </c>
      <c r="C45" s="2">
        <v>334.281025</v>
      </c>
      <c r="E45" s="2">
        <v>18</v>
      </c>
      <c r="F45" s="2">
        <v>553.08415173222897</v>
      </c>
      <c r="G45" s="2">
        <v>351.62513200000001</v>
      </c>
      <c r="I45" s="2">
        <v>18</v>
      </c>
      <c r="J45" s="2">
        <v>604.68776176720201</v>
      </c>
      <c r="K45" s="2">
        <v>19.426556000000001</v>
      </c>
      <c r="M45" s="2">
        <v>18</v>
      </c>
      <c r="N45" s="2">
        <v>571.753883646188</v>
      </c>
      <c r="O45" s="2">
        <v>425.90477700000002</v>
      </c>
      <c r="Q45" s="2">
        <v>18</v>
      </c>
      <c r="R45" s="2">
        <v>611.85936118571306</v>
      </c>
      <c r="S45" s="2">
        <v>20.517771</v>
      </c>
      <c r="U45" s="2">
        <v>18</v>
      </c>
      <c r="V45" s="2">
        <v>617.23575763789597</v>
      </c>
      <c r="W45" s="2">
        <v>19.660243999999999</v>
      </c>
    </row>
    <row r="46" spans="1:24" x14ac:dyDescent="0.35">
      <c r="A46" s="2">
        <v>19</v>
      </c>
      <c r="B46" s="2">
        <v>557.50618856799201</v>
      </c>
      <c r="C46" s="2">
        <v>331.54802100000001</v>
      </c>
      <c r="E46" s="2">
        <v>19</v>
      </c>
      <c r="F46" s="2">
        <v>554.60479217774298</v>
      </c>
      <c r="G46" s="2">
        <v>346.979512</v>
      </c>
      <c r="I46" s="2">
        <v>19</v>
      </c>
      <c r="J46" s="2">
        <v>581.77065811088903</v>
      </c>
      <c r="K46" s="2">
        <v>20.037482000000001</v>
      </c>
      <c r="M46" s="2">
        <v>19</v>
      </c>
      <c r="N46" s="2">
        <v>572.58712497423903</v>
      </c>
      <c r="O46" s="2">
        <v>420.96686299999999</v>
      </c>
      <c r="Q46" s="2">
        <v>19</v>
      </c>
      <c r="R46" s="2">
        <v>616.43502719956302</v>
      </c>
      <c r="S46" s="2">
        <v>18.554604999999999</v>
      </c>
      <c r="U46" s="2">
        <v>19</v>
      </c>
      <c r="V46" s="2">
        <v>621.26743381394795</v>
      </c>
      <c r="W46" s="2">
        <v>20.061513999999999</v>
      </c>
    </row>
    <row r="47" spans="1:24" x14ac:dyDescent="0.35">
      <c r="A47" s="2">
        <v>20</v>
      </c>
      <c r="B47" s="2">
        <v>561.21096149411005</v>
      </c>
      <c r="C47" s="2">
        <v>333.03578599999997</v>
      </c>
      <c r="E47" s="2">
        <v>20</v>
      </c>
      <c r="F47" s="2">
        <v>565.75159404117096</v>
      </c>
      <c r="G47" s="2">
        <v>349.90606100000002</v>
      </c>
      <c r="I47" s="2">
        <v>20</v>
      </c>
      <c r="J47" s="2">
        <v>580.82032016208404</v>
      </c>
      <c r="K47" s="2">
        <v>19.707832</v>
      </c>
      <c r="M47" s="2">
        <v>20</v>
      </c>
      <c r="N47" s="2">
        <v>575.08996948115703</v>
      </c>
      <c r="O47" s="2">
        <v>430.29466100000002</v>
      </c>
      <c r="Q47" s="2">
        <v>20</v>
      </c>
      <c r="R47" s="2">
        <v>600.96275309929501</v>
      </c>
      <c r="S47" s="2">
        <v>19.032412000000001</v>
      </c>
      <c r="U47" s="2">
        <v>20</v>
      </c>
      <c r="V47" s="2">
        <v>612.12864612158501</v>
      </c>
      <c r="W47" s="2">
        <v>19.754151</v>
      </c>
    </row>
    <row r="48" spans="1:24" x14ac:dyDescent="0.35">
      <c r="A48" s="2" t="s">
        <v>19</v>
      </c>
      <c r="B48" s="3">
        <f>AVERAGE(B28:B47)</f>
        <v>556.7529371483372</v>
      </c>
      <c r="C48" s="3">
        <f>AVERAGE(C28:C47)</f>
        <v>332.67840409999997</v>
      </c>
      <c r="F48" s="3">
        <f>AVERAGE(F28:F47)</f>
        <v>559.18657652308093</v>
      </c>
      <c r="G48" s="3">
        <f>AVERAGE(G28:G47)</f>
        <v>348.46570250000002</v>
      </c>
      <c r="H48" s="3"/>
      <c r="J48" s="3">
        <f>AVERAGE(J28:J47)</f>
        <v>598.62469443658097</v>
      </c>
      <c r="K48" s="3">
        <f>AVERAGE(K28:K47)</f>
        <v>19.424551299999997</v>
      </c>
      <c r="L48" s="3"/>
      <c r="N48" s="3">
        <f>AVERAGE(N28:N47)</f>
        <v>578.32012218678813</v>
      </c>
      <c r="O48" s="3">
        <f>AVERAGE(O28:O47)</f>
        <v>428.76374629999992</v>
      </c>
      <c r="P48" s="3"/>
      <c r="R48" s="3">
        <f>AVERAGE(R28:R47)</f>
        <v>622.16889949758502</v>
      </c>
      <c r="S48" s="3">
        <f>AVERAGE(S28:S47)</f>
        <v>19.409689149999998</v>
      </c>
      <c r="T48" s="3"/>
      <c r="V48" s="3">
        <f>AVERAGE(V28:V47)</f>
        <v>621.34415573416425</v>
      </c>
      <c r="W48" s="3">
        <f>AVERAGE(W28:W47)</f>
        <v>19.706183899999996</v>
      </c>
      <c r="X48" s="3"/>
    </row>
    <row r="49" spans="1:24" x14ac:dyDescent="0.35">
      <c r="A49" s="2" t="s">
        <v>36</v>
      </c>
      <c r="B49" s="2" cm="1">
        <f t="array" ref="B49">[1]!SignTest(B28:B47,F28:F47,2)</f>
        <v>0.11531829833984381</v>
      </c>
      <c r="C49" s="2" cm="1">
        <f t="array" ref="C49">[1]!SignTest(C28:C47,G28:G47,2)</f>
        <v>1.9073486328125E-6</v>
      </c>
    </row>
    <row r="50" spans="1:24" ht="21" x14ac:dyDescent="0.5">
      <c r="A50" s="10" t="s">
        <v>2</v>
      </c>
      <c r="B50" s="10"/>
      <c r="C50" s="10"/>
      <c r="E50" s="10" t="s">
        <v>2</v>
      </c>
      <c r="F50" s="10"/>
      <c r="G50" s="10"/>
      <c r="H50" s="1"/>
      <c r="I50" s="10" t="s">
        <v>2</v>
      </c>
      <c r="J50" s="10"/>
      <c r="K50" s="10"/>
      <c r="L50" s="1"/>
      <c r="M50" s="10" t="s">
        <v>2</v>
      </c>
      <c r="N50" s="10"/>
      <c r="O50" s="10"/>
      <c r="P50" s="1"/>
      <c r="Q50" s="10" t="s">
        <v>2</v>
      </c>
      <c r="R50" s="10"/>
      <c r="S50" s="10"/>
      <c r="T50" s="1"/>
      <c r="U50" s="10" t="s">
        <v>2</v>
      </c>
      <c r="V50" s="10"/>
      <c r="W50" s="10"/>
      <c r="X50" s="1"/>
    </row>
    <row r="51" spans="1:24" x14ac:dyDescent="0.35">
      <c r="A51" s="2" t="s">
        <v>15</v>
      </c>
      <c r="B51" s="2" t="s">
        <v>16</v>
      </c>
      <c r="C51" s="2" t="s">
        <v>17</v>
      </c>
      <c r="E51" s="2" t="s">
        <v>15</v>
      </c>
      <c r="F51" s="2" t="s">
        <v>16</v>
      </c>
      <c r="G51" s="2" t="s">
        <v>17</v>
      </c>
      <c r="I51" s="2" t="s">
        <v>15</v>
      </c>
      <c r="J51" s="2" t="s">
        <v>16</v>
      </c>
      <c r="K51" s="2" t="s">
        <v>17</v>
      </c>
      <c r="M51" s="2" t="s">
        <v>15</v>
      </c>
      <c r="N51" s="2" t="s">
        <v>16</v>
      </c>
      <c r="O51" s="2" t="s">
        <v>17</v>
      </c>
      <c r="Q51" s="2" t="s">
        <v>15</v>
      </c>
      <c r="R51" s="2" t="s">
        <v>16</v>
      </c>
      <c r="S51" s="2" t="s">
        <v>17</v>
      </c>
      <c r="U51" s="2" t="s">
        <v>15</v>
      </c>
      <c r="V51" s="2" t="s">
        <v>16</v>
      </c>
      <c r="W51" s="2" t="s">
        <v>17</v>
      </c>
    </row>
    <row r="52" spans="1:24" x14ac:dyDescent="0.35">
      <c r="A52" s="2">
        <v>1</v>
      </c>
      <c r="B52" s="2">
        <v>110903.433788574</v>
      </c>
      <c r="C52" s="2">
        <v>389.47247399999998</v>
      </c>
      <c r="E52" s="2">
        <v>1</v>
      </c>
      <c r="F52" s="2">
        <v>109456.88579248999</v>
      </c>
      <c r="G52" s="2">
        <v>398.59339999999997</v>
      </c>
      <c r="I52" s="2">
        <v>1</v>
      </c>
      <c r="J52" s="2">
        <v>122829.877860154</v>
      </c>
      <c r="K52" s="2">
        <v>19.943695000000002</v>
      </c>
      <c r="M52" s="2">
        <v>1</v>
      </c>
      <c r="N52" s="2">
        <v>115979.95552865</v>
      </c>
      <c r="O52" s="2">
        <v>487.03075799999999</v>
      </c>
      <c r="Q52" s="2">
        <v>1</v>
      </c>
      <c r="R52" s="2">
        <v>131602.847154405</v>
      </c>
      <c r="S52" s="2">
        <v>17.448215999999999</v>
      </c>
      <c r="U52" s="2">
        <v>1</v>
      </c>
      <c r="V52" s="2">
        <v>124164.39831484899</v>
      </c>
      <c r="W52" s="2">
        <v>19.843160999999998</v>
      </c>
    </row>
    <row r="53" spans="1:24" x14ac:dyDescent="0.35">
      <c r="A53" s="2">
        <v>2</v>
      </c>
      <c r="B53" s="2">
        <v>109091.88907921</v>
      </c>
      <c r="C53" s="2">
        <v>389.32735100000002</v>
      </c>
      <c r="E53" s="2">
        <v>2</v>
      </c>
      <c r="F53" s="2">
        <v>113281.25285996</v>
      </c>
      <c r="G53" s="2">
        <v>399.76603</v>
      </c>
      <c r="I53" s="2">
        <v>2</v>
      </c>
      <c r="J53" s="2">
        <v>125748.104453498</v>
      </c>
      <c r="K53" s="2">
        <v>19.59215</v>
      </c>
      <c r="M53" s="2">
        <v>2</v>
      </c>
      <c r="N53" s="2">
        <v>115979.95552865</v>
      </c>
      <c r="O53" s="2">
        <v>488.72261500000002</v>
      </c>
      <c r="Q53" s="2">
        <v>2</v>
      </c>
      <c r="R53" s="2">
        <v>133174.164828254</v>
      </c>
      <c r="S53" s="2">
        <v>19.781169999999999</v>
      </c>
      <c r="U53" s="2">
        <v>2</v>
      </c>
      <c r="V53" s="2">
        <v>128634.864413134</v>
      </c>
      <c r="W53" s="2">
        <v>19.912133000000001</v>
      </c>
    </row>
    <row r="54" spans="1:24" x14ac:dyDescent="0.35">
      <c r="A54" s="2">
        <v>3</v>
      </c>
      <c r="B54" s="2">
        <v>111624.01116168599</v>
      </c>
      <c r="C54" s="2">
        <v>392.021299</v>
      </c>
      <c r="E54" s="2">
        <v>3</v>
      </c>
      <c r="F54" s="2">
        <v>111305.259032809</v>
      </c>
      <c r="G54" s="2">
        <v>397.42201899999998</v>
      </c>
      <c r="I54" s="2">
        <v>3</v>
      </c>
      <c r="J54" s="2">
        <v>121338.965891139</v>
      </c>
      <c r="K54" s="2">
        <v>19.401253000000001</v>
      </c>
      <c r="M54" s="2">
        <v>3</v>
      </c>
      <c r="N54" s="2">
        <v>122392.394242594</v>
      </c>
      <c r="O54" s="2">
        <v>488.54535299999998</v>
      </c>
      <c r="Q54" s="2">
        <v>3</v>
      </c>
      <c r="R54" s="2">
        <v>133895.73187235399</v>
      </c>
      <c r="S54" s="2">
        <v>19.296880999999999</v>
      </c>
      <c r="U54" s="2">
        <v>3</v>
      </c>
      <c r="V54" s="2">
        <v>115819.526170139</v>
      </c>
      <c r="W54" s="2">
        <v>19.930586999999999</v>
      </c>
    </row>
    <row r="55" spans="1:24" x14ac:dyDescent="0.35">
      <c r="A55" s="2">
        <v>4</v>
      </c>
      <c r="B55" s="2">
        <v>110373.34094162199</v>
      </c>
      <c r="C55" s="2">
        <v>386.91452900000002</v>
      </c>
      <c r="E55" s="2">
        <v>4</v>
      </c>
      <c r="F55" s="2">
        <v>112331.86144197</v>
      </c>
      <c r="G55" s="2">
        <v>396.92860999999999</v>
      </c>
      <c r="I55" s="2">
        <v>4</v>
      </c>
      <c r="J55" s="2">
        <v>122846.14761484299</v>
      </c>
      <c r="K55" s="2">
        <v>20.129771000000002</v>
      </c>
      <c r="M55" s="2">
        <v>4</v>
      </c>
      <c r="N55" s="2">
        <v>115979.95552865</v>
      </c>
      <c r="O55" s="2">
        <v>488.78393699999998</v>
      </c>
      <c r="Q55" s="2">
        <v>4</v>
      </c>
      <c r="R55" s="2">
        <v>133895.73187235399</v>
      </c>
      <c r="S55" s="2">
        <v>19.968821999999999</v>
      </c>
      <c r="U55" s="2">
        <v>4</v>
      </c>
      <c r="V55" s="2">
        <v>127294.15677077499</v>
      </c>
      <c r="W55" s="2">
        <v>18.105934000000001</v>
      </c>
    </row>
    <row r="56" spans="1:24" x14ac:dyDescent="0.35">
      <c r="A56" s="2">
        <v>5</v>
      </c>
      <c r="B56" s="2">
        <v>109921.085184843</v>
      </c>
      <c r="C56" s="2">
        <v>391.70231799999999</v>
      </c>
      <c r="E56" s="2">
        <v>5</v>
      </c>
      <c r="F56" s="2">
        <v>110734.029855006</v>
      </c>
      <c r="G56" s="2">
        <v>399.40168699999998</v>
      </c>
      <c r="I56" s="2">
        <v>5</v>
      </c>
      <c r="J56" s="2">
        <v>123000.899382699</v>
      </c>
      <c r="K56" s="2">
        <v>19.199738</v>
      </c>
      <c r="M56" s="2">
        <v>5</v>
      </c>
      <c r="N56" s="2">
        <v>120678.524101238</v>
      </c>
      <c r="O56" s="2">
        <v>490.07175699999999</v>
      </c>
      <c r="Q56" s="2">
        <v>5</v>
      </c>
      <c r="R56" s="2">
        <v>134397.47633485799</v>
      </c>
      <c r="S56" s="2">
        <v>19.154761000000001</v>
      </c>
      <c r="U56" s="2">
        <v>5</v>
      </c>
      <c r="V56" s="2">
        <v>122106.713365576</v>
      </c>
      <c r="W56" s="2">
        <v>20.042321000000001</v>
      </c>
    </row>
    <row r="57" spans="1:24" x14ac:dyDescent="0.35">
      <c r="A57" s="2">
        <v>6</v>
      </c>
      <c r="B57" s="2">
        <v>113732.660301298</v>
      </c>
      <c r="C57" s="2">
        <v>381.109691</v>
      </c>
      <c r="E57" s="2">
        <v>6</v>
      </c>
      <c r="F57" s="2">
        <v>109648.74642031699</v>
      </c>
      <c r="G57" s="2">
        <v>400.98008499999997</v>
      </c>
      <c r="I57" s="2">
        <v>6</v>
      </c>
      <c r="J57" s="2">
        <v>122914.28150082901</v>
      </c>
      <c r="K57" s="2">
        <v>19.416903000000001</v>
      </c>
      <c r="M57" s="2">
        <v>6</v>
      </c>
      <c r="N57" s="2">
        <v>117549.184678654</v>
      </c>
      <c r="O57" s="2">
        <v>486.97465199999999</v>
      </c>
      <c r="Q57" s="2">
        <v>6</v>
      </c>
      <c r="R57" s="2">
        <v>137933.044135951</v>
      </c>
      <c r="S57" s="2">
        <v>19.500791</v>
      </c>
      <c r="U57" s="2">
        <v>6</v>
      </c>
      <c r="V57" s="2">
        <v>121003.785330485</v>
      </c>
      <c r="W57" s="2">
        <v>19.725895999999999</v>
      </c>
    </row>
    <row r="58" spans="1:24" x14ac:dyDescent="0.35">
      <c r="A58" s="2">
        <v>7</v>
      </c>
      <c r="B58" s="2">
        <v>110274.426542402</v>
      </c>
      <c r="C58" s="2">
        <v>392.288479</v>
      </c>
      <c r="E58" s="2">
        <v>7</v>
      </c>
      <c r="F58" s="2">
        <v>111597.02692321299</v>
      </c>
      <c r="G58" s="2">
        <v>393.16302200000001</v>
      </c>
      <c r="I58" s="2">
        <v>7</v>
      </c>
      <c r="J58" s="2">
        <v>122737.235137963</v>
      </c>
      <c r="K58" s="2">
        <v>19.595123000000001</v>
      </c>
      <c r="M58" s="2">
        <v>7</v>
      </c>
      <c r="N58" s="2">
        <v>113515.04776178001</v>
      </c>
      <c r="O58" s="2">
        <v>489.46274199999999</v>
      </c>
      <c r="Q58" s="2">
        <v>7</v>
      </c>
      <c r="R58" s="2">
        <v>130921.004576673</v>
      </c>
      <c r="S58" s="2">
        <v>20.286294999999999</v>
      </c>
      <c r="U58" s="2">
        <v>7</v>
      </c>
      <c r="V58" s="2">
        <v>121458.50256785699</v>
      </c>
      <c r="W58" s="2">
        <v>19.431145999999998</v>
      </c>
    </row>
    <row r="59" spans="1:24" x14ac:dyDescent="0.35">
      <c r="A59" s="2">
        <v>8</v>
      </c>
      <c r="B59" s="2">
        <v>110859.67301406201</v>
      </c>
      <c r="C59" s="2">
        <v>389.42635000000001</v>
      </c>
      <c r="E59" s="2">
        <v>8</v>
      </c>
      <c r="F59" s="2">
        <v>111470.15935011501</v>
      </c>
      <c r="G59" s="2">
        <v>397.84693499999997</v>
      </c>
      <c r="I59" s="2">
        <v>8</v>
      </c>
      <c r="J59" s="2">
        <v>120045.116632508</v>
      </c>
      <c r="K59" s="2">
        <v>19.012329000000001</v>
      </c>
      <c r="M59" s="2">
        <v>8</v>
      </c>
      <c r="N59" s="2">
        <v>120830.737422595</v>
      </c>
      <c r="O59" s="2">
        <v>490.358341</v>
      </c>
      <c r="Q59" s="2">
        <v>8</v>
      </c>
      <c r="R59" s="2">
        <v>134397.47633485799</v>
      </c>
      <c r="S59" s="2">
        <v>20.030899999999999</v>
      </c>
      <c r="U59" s="2">
        <v>8</v>
      </c>
      <c r="V59" s="2">
        <v>121808.579986583</v>
      </c>
      <c r="W59" s="2">
        <v>18.964511000000002</v>
      </c>
    </row>
    <row r="60" spans="1:24" x14ac:dyDescent="0.35">
      <c r="A60" s="2">
        <v>9</v>
      </c>
      <c r="B60" s="2">
        <v>110145.38185397199</v>
      </c>
      <c r="C60" s="2">
        <v>390.30348300000003</v>
      </c>
      <c r="E60" s="2">
        <v>9</v>
      </c>
      <c r="F60" s="2">
        <v>110583.03872144601</v>
      </c>
      <c r="G60" s="2">
        <v>393.35</v>
      </c>
      <c r="I60" s="2">
        <v>9</v>
      </c>
      <c r="J60" s="2">
        <v>119863.552611258</v>
      </c>
      <c r="K60" s="2">
        <v>20.085858000000002</v>
      </c>
      <c r="M60" s="2">
        <v>9</v>
      </c>
      <c r="N60" s="2">
        <v>115979.95552865</v>
      </c>
      <c r="O60" s="2">
        <v>488.66171100000003</v>
      </c>
      <c r="Q60" s="2">
        <v>9</v>
      </c>
      <c r="R60" s="2">
        <v>134688.823538005</v>
      </c>
      <c r="S60" s="2">
        <v>19.306571999999999</v>
      </c>
      <c r="U60" s="2">
        <v>9</v>
      </c>
      <c r="V60" s="2">
        <v>130241.881848238</v>
      </c>
      <c r="W60" s="2">
        <v>19.554130000000001</v>
      </c>
    </row>
    <row r="61" spans="1:24" x14ac:dyDescent="0.35">
      <c r="A61" s="2">
        <v>10</v>
      </c>
      <c r="B61" s="2">
        <v>110261.68053647999</v>
      </c>
      <c r="C61" s="2">
        <v>389.34414800000002</v>
      </c>
      <c r="E61" s="2">
        <v>10</v>
      </c>
      <c r="F61" s="2">
        <v>109618.83154167001</v>
      </c>
      <c r="G61" s="2">
        <v>393.0077</v>
      </c>
      <c r="I61" s="2">
        <v>10</v>
      </c>
      <c r="J61" s="2">
        <v>118308.726556475</v>
      </c>
      <c r="K61" s="2">
        <v>19.854091</v>
      </c>
      <c r="M61" s="2">
        <v>10</v>
      </c>
      <c r="N61" s="2">
        <v>115205.28716820999</v>
      </c>
      <c r="O61" s="2">
        <v>487.31730199999998</v>
      </c>
      <c r="Q61" s="2">
        <v>10</v>
      </c>
      <c r="R61" s="2">
        <v>130921.004576673</v>
      </c>
      <c r="S61" s="2">
        <v>18.604890000000001</v>
      </c>
      <c r="U61" s="2">
        <v>10</v>
      </c>
      <c r="V61" s="2">
        <v>124203.01000205601</v>
      </c>
      <c r="W61" s="2">
        <v>18.601216999999998</v>
      </c>
    </row>
    <row r="62" spans="1:24" x14ac:dyDescent="0.35">
      <c r="A62" s="2">
        <v>11</v>
      </c>
      <c r="B62" s="2">
        <v>109825.582397769</v>
      </c>
      <c r="C62" s="2">
        <v>390.07546300000001</v>
      </c>
      <c r="E62" s="2">
        <v>11</v>
      </c>
      <c r="F62" s="2">
        <v>108159.43827413701</v>
      </c>
      <c r="G62" s="2">
        <v>400.45563399999998</v>
      </c>
      <c r="I62" s="2">
        <v>11</v>
      </c>
      <c r="J62" s="2">
        <v>119185.180879016</v>
      </c>
      <c r="K62" s="2">
        <v>19.918949000000001</v>
      </c>
      <c r="M62" s="2">
        <v>11</v>
      </c>
      <c r="N62" s="2">
        <v>115979.95552865</v>
      </c>
      <c r="O62" s="2">
        <v>488.68638499999997</v>
      </c>
      <c r="Q62" s="2">
        <v>11</v>
      </c>
      <c r="R62" s="2">
        <v>134508.886826745</v>
      </c>
      <c r="S62" s="2">
        <v>19.293814000000001</v>
      </c>
      <c r="U62" s="2">
        <v>11</v>
      </c>
      <c r="V62" s="2">
        <v>128773.32055422199</v>
      </c>
      <c r="W62" s="2">
        <v>19.555458999999999</v>
      </c>
    </row>
    <row r="63" spans="1:24" x14ac:dyDescent="0.35">
      <c r="A63" s="2">
        <v>12</v>
      </c>
      <c r="B63" s="2">
        <v>111605.24183947399</v>
      </c>
      <c r="C63" s="2">
        <v>388.61046299999998</v>
      </c>
      <c r="E63" s="2">
        <v>12</v>
      </c>
      <c r="F63" s="2">
        <v>111379.371406566</v>
      </c>
      <c r="G63" s="2">
        <v>399.17991799999999</v>
      </c>
      <c r="I63" s="2">
        <v>12</v>
      </c>
      <c r="J63" s="2">
        <v>128409.364263276</v>
      </c>
      <c r="K63" s="2">
        <v>19.120837999999999</v>
      </c>
      <c r="M63" s="2">
        <v>12</v>
      </c>
      <c r="N63" s="2">
        <v>115205.28716820999</v>
      </c>
      <c r="O63" s="2">
        <v>490.31365</v>
      </c>
      <c r="Q63" s="2">
        <v>12</v>
      </c>
      <c r="R63" s="2">
        <v>130921.004576673</v>
      </c>
      <c r="S63" s="2">
        <v>20.128183</v>
      </c>
      <c r="U63" s="2">
        <v>12</v>
      </c>
      <c r="V63" s="2">
        <v>120439.309915751</v>
      </c>
      <c r="W63" s="2">
        <v>19.702788000000002</v>
      </c>
    </row>
    <row r="64" spans="1:24" x14ac:dyDescent="0.35">
      <c r="A64" s="2">
        <v>13</v>
      </c>
      <c r="B64" s="2">
        <v>111808.191145219</v>
      </c>
      <c r="C64" s="2">
        <v>386.61587800000001</v>
      </c>
      <c r="E64" s="2">
        <v>13</v>
      </c>
      <c r="F64" s="2">
        <v>111879.326728221</v>
      </c>
      <c r="G64" s="2">
        <v>396.59063600000002</v>
      </c>
      <c r="I64" s="2">
        <v>13</v>
      </c>
      <c r="J64" s="2">
        <v>121415.99315169299</v>
      </c>
      <c r="K64" s="2">
        <v>19.863043999999999</v>
      </c>
      <c r="M64" s="2">
        <v>13</v>
      </c>
      <c r="N64" s="2">
        <v>116950.442354881</v>
      </c>
      <c r="O64" s="2">
        <v>486.70417700000002</v>
      </c>
      <c r="Q64" s="2">
        <v>13</v>
      </c>
      <c r="R64" s="2">
        <v>132173.688127109</v>
      </c>
      <c r="S64" s="2">
        <v>19.525606</v>
      </c>
      <c r="U64" s="2">
        <v>13</v>
      </c>
      <c r="V64" s="2">
        <v>118124.423605167</v>
      </c>
      <c r="W64" s="2">
        <v>19.584910000000001</v>
      </c>
    </row>
    <row r="65" spans="1:24" x14ac:dyDescent="0.35">
      <c r="A65" s="2">
        <v>14</v>
      </c>
      <c r="B65" s="2">
        <v>109788.191165019</v>
      </c>
      <c r="C65" s="2">
        <v>385.649585</v>
      </c>
      <c r="E65" s="2">
        <v>14</v>
      </c>
      <c r="F65" s="2">
        <v>112896.09083349899</v>
      </c>
      <c r="G65" s="2">
        <v>391.00257699999997</v>
      </c>
      <c r="I65" s="2">
        <v>14</v>
      </c>
      <c r="J65" s="2">
        <v>116879.67787981901</v>
      </c>
      <c r="K65" s="2">
        <v>19.133789</v>
      </c>
      <c r="M65" s="2">
        <v>14</v>
      </c>
      <c r="N65" s="2">
        <v>115205.28716820999</v>
      </c>
      <c r="O65" s="2">
        <v>482.55355500000002</v>
      </c>
      <c r="Q65" s="2">
        <v>14</v>
      </c>
      <c r="R65" s="2">
        <v>133895.73187235399</v>
      </c>
      <c r="S65" s="2">
        <v>19.033484999999999</v>
      </c>
      <c r="U65" s="2">
        <v>14</v>
      </c>
      <c r="V65" s="2">
        <v>119396.878369157</v>
      </c>
      <c r="W65" s="2">
        <v>19.155201000000002</v>
      </c>
    </row>
    <row r="66" spans="1:24" x14ac:dyDescent="0.35">
      <c r="A66" s="2">
        <v>15</v>
      </c>
      <c r="B66" s="2">
        <v>108589.123163275</v>
      </c>
      <c r="C66" s="2">
        <v>384.70702199999999</v>
      </c>
      <c r="E66" s="2">
        <v>15</v>
      </c>
      <c r="F66" s="2">
        <v>110684.38871568401</v>
      </c>
      <c r="G66" s="2">
        <v>393.72846099999998</v>
      </c>
      <c r="I66" s="2">
        <v>15</v>
      </c>
      <c r="J66" s="2">
        <v>121081.894409669</v>
      </c>
      <c r="K66" s="2">
        <v>19.032314</v>
      </c>
      <c r="M66" s="2">
        <v>15</v>
      </c>
      <c r="N66" s="2">
        <v>125042.75430140999</v>
      </c>
      <c r="O66" s="2">
        <v>488.05548599999997</v>
      </c>
      <c r="Q66" s="2">
        <v>15</v>
      </c>
      <c r="R66" s="2">
        <v>133895.73187235399</v>
      </c>
      <c r="S66" s="2">
        <v>18.78922</v>
      </c>
      <c r="U66" s="2">
        <v>15</v>
      </c>
      <c r="V66" s="2">
        <v>123038.081998154</v>
      </c>
      <c r="W66" s="2">
        <v>19.241146000000001</v>
      </c>
    </row>
    <row r="67" spans="1:24" x14ac:dyDescent="0.35">
      <c r="A67" s="2">
        <v>16</v>
      </c>
      <c r="B67" s="2">
        <v>112943.78972545</v>
      </c>
      <c r="C67" s="2">
        <v>391.90232700000001</v>
      </c>
      <c r="E67" s="2">
        <v>16</v>
      </c>
      <c r="F67" s="2">
        <v>110345.941583294</v>
      </c>
      <c r="G67" s="2">
        <v>396.87236200000001</v>
      </c>
      <c r="I67" s="2">
        <v>16</v>
      </c>
      <c r="J67" s="2">
        <v>126167.45704396701</v>
      </c>
      <c r="K67" s="2">
        <v>19.912721000000001</v>
      </c>
      <c r="M67" s="2">
        <v>16</v>
      </c>
      <c r="N67" s="2">
        <v>122958.73736441501</v>
      </c>
      <c r="O67" s="2">
        <v>482.74137999999999</v>
      </c>
      <c r="Q67" s="2">
        <v>16</v>
      </c>
      <c r="R67" s="2">
        <v>134397.47633485799</v>
      </c>
      <c r="S67" s="2">
        <v>19.373225999999999</v>
      </c>
      <c r="U67" s="2">
        <v>16</v>
      </c>
      <c r="V67" s="2">
        <v>125857.361223477</v>
      </c>
      <c r="W67" s="2">
        <v>19.349063000000001</v>
      </c>
    </row>
    <row r="68" spans="1:24" x14ac:dyDescent="0.35">
      <c r="A68" s="2">
        <v>17</v>
      </c>
      <c r="B68" s="2">
        <v>111498.49916598899</v>
      </c>
      <c r="C68" s="2">
        <v>381.04452199999997</v>
      </c>
      <c r="E68" s="2">
        <v>17</v>
      </c>
      <c r="F68" s="2">
        <v>108202.15682311</v>
      </c>
      <c r="G68" s="2">
        <v>388.65016800000001</v>
      </c>
      <c r="I68" s="2">
        <v>17</v>
      </c>
      <c r="J68" s="2">
        <v>122821.78259824299</v>
      </c>
      <c r="K68" s="2">
        <v>19.449422999999999</v>
      </c>
      <c r="M68" s="2">
        <v>17</v>
      </c>
      <c r="N68" s="2">
        <v>115157.35562122701</v>
      </c>
      <c r="O68" s="2">
        <v>485.84425199999998</v>
      </c>
      <c r="Q68" s="2">
        <v>17</v>
      </c>
      <c r="R68" s="2">
        <v>132173.688127109</v>
      </c>
      <c r="S68" s="2">
        <v>19.618963999999998</v>
      </c>
      <c r="U68" s="2">
        <v>17</v>
      </c>
      <c r="V68" s="2">
        <v>124146.947113959</v>
      </c>
      <c r="W68" s="2">
        <v>20.203469999999999</v>
      </c>
    </row>
    <row r="69" spans="1:24" x14ac:dyDescent="0.35">
      <c r="A69" s="2">
        <v>18</v>
      </c>
      <c r="B69" s="2">
        <v>110091.145591145</v>
      </c>
      <c r="C69" s="2">
        <v>392.17806400000001</v>
      </c>
      <c r="E69" s="2">
        <v>18</v>
      </c>
      <c r="F69" s="2">
        <v>110896.41817011</v>
      </c>
      <c r="G69" s="2">
        <v>394.99219399999998</v>
      </c>
      <c r="I69" s="2">
        <v>18</v>
      </c>
      <c r="J69" s="2">
        <v>121176.572272262</v>
      </c>
      <c r="K69" s="2">
        <v>20.203199999999999</v>
      </c>
      <c r="M69" s="2">
        <v>18</v>
      </c>
      <c r="N69" s="2">
        <v>115979.95552865</v>
      </c>
      <c r="O69" s="2">
        <v>490.41593799999998</v>
      </c>
      <c r="Q69" s="2">
        <v>18</v>
      </c>
      <c r="R69" s="2">
        <v>131607.479494617</v>
      </c>
      <c r="S69" s="2">
        <v>19.980357999999999</v>
      </c>
      <c r="U69" s="2">
        <v>18</v>
      </c>
      <c r="V69" s="2">
        <v>120850.655193631</v>
      </c>
      <c r="W69" s="2">
        <v>19.490319</v>
      </c>
    </row>
    <row r="70" spans="1:24" x14ac:dyDescent="0.35">
      <c r="A70" s="2">
        <v>19</v>
      </c>
      <c r="B70" s="2">
        <v>111796.588363788</v>
      </c>
      <c r="C70" s="2">
        <v>389.78719799999999</v>
      </c>
      <c r="E70" s="2">
        <v>19</v>
      </c>
      <c r="F70" s="2">
        <v>109274.547231112</v>
      </c>
      <c r="G70" s="2">
        <v>397.49863399999998</v>
      </c>
      <c r="I70" s="2">
        <v>19</v>
      </c>
      <c r="J70" s="2">
        <v>114185.828472414</v>
      </c>
      <c r="K70" s="2">
        <v>19.891701999999999</v>
      </c>
      <c r="M70" s="2">
        <v>19</v>
      </c>
      <c r="N70" s="2">
        <v>113273.651378145</v>
      </c>
      <c r="O70" s="2">
        <v>487.16368699999998</v>
      </c>
      <c r="Q70" s="2">
        <v>19</v>
      </c>
      <c r="R70" s="2">
        <v>129870.74381381</v>
      </c>
      <c r="S70" s="2">
        <v>20.039517</v>
      </c>
      <c r="U70" s="2">
        <v>19</v>
      </c>
      <c r="V70" s="2">
        <v>123480.62069256</v>
      </c>
      <c r="W70" s="2">
        <v>19.689844000000001</v>
      </c>
    </row>
    <row r="71" spans="1:24" x14ac:dyDescent="0.35">
      <c r="A71" s="2">
        <v>20</v>
      </c>
      <c r="B71" s="2">
        <v>111652.37013942801</v>
      </c>
      <c r="C71" s="2">
        <v>392.22718300000003</v>
      </c>
      <c r="E71" s="2">
        <v>20</v>
      </c>
      <c r="F71" s="2">
        <v>109187.197852935</v>
      </c>
      <c r="G71" s="2">
        <v>394.56073600000002</v>
      </c>
      <c r="I71" s="2">
        <v>20</v>
      </c>
      <c r="J71" s="2">
        <v>129435.69038924199</v>
      </c>
      <c r="K71" s="2">
        <v>19.464502</v>
      </c>
      <c r="M71" s="2">
        <v>20</v>
      </c>
      <c r="N71" s="2">
        <v>115205.28716820999</v>
      </c>
      <c r="O71" s="2">
        <v>489.31019099999997</v>
      </c>
      <c r="Q71" s="2">
        <v>20</v>
      </c>
      <c r="R71" s="2">
        <v>134102.69128565799</v>
      </c>
      <c r="S71" s="2">
        <v>19.680968</v>
      </c>
      <c r="U71" s="2">
        <v>20</v>
      </c>
      <c r="V71" s="2">
        <v>129313.31698098801</v>
      </c>
      <c r="W71" s="2">
        <v>20.260432999999999</v>
      </c>
    </row>
    <row r="72" spans="1:24" x14ac:dyDescent="0.35">
      <c r="A72" s="2" t="s">
        <v>19</v>
      </c>
      <c r="B72" s="3">
        <f>AVERAGE(B52:B71)</f>
        <v>110839.31525503525</v>
      </c>
      <c r="C72" s="3">
        <f>AVERAGE(C52:C71)</f>
        <v>388.73539134999999</v>
      </c>
      <c r="F72" s="3">
        <f>AVERAGE(F52:F71)</f>
        <v>110646.59847788322</v>
      </c>
      <c r="G72" s="3">
        <f>AVERAGE(G52:G71)</f>
        <v>396.19954040000005</v>
      </c>
      <c r="H72" s="3"/>
      <c r="J72" s="3">
        <f>AVERAGE(J52:J71)</f>
        <v>122019.61745004836</v>
      </c>
      <c r="K72" s="3">
        <f>AVERAGE(K52:K71)</f>
        <v>19.611069649999997</v>
      </c>
      <c r="L72" s="3"/>
      <c r="N72" s="3">
        <f>AVERAGE(N52:N71)</f>
        <v>117252.48555358395</v>
      </c>
      <c r="O72" s="3">
        <f>AVERAGE(O52:O71)</f>
        <v>487.88589345000008</v>
      </c>
      <c r="P72" s="3"/>
      <c r="R72" s="3">
        <f>AVERAGE(R52:R71)</f>
        <v>133168.7213777836</v>
      </c>
      <c r="S72" s="3">
        <f>AVERAGE(S52:S71)</f>
        <v>19.44213195</v>
      </c>
      <c r="T72" s="3"/>
      <c r="V72" s="3">
        <f>AVERAGE(V52:V71)</f>
        <v>123507.81672083789</v>
      </c>
      <c r="W72" s="3">
        <f>AVERAGE(W52:W71)</f>
        <v>19.517183449999997</v>
      </c>
      <c r="X72" s="3"/>
    </row>
    <row r="73" spans="1:24" x14ac:dyDescent="0.35">
      <c r="A73" s="2" t="s">
        <v>36</v>
      </c>
      <c r="B73" s="2" cm="1">
        <f t="array" ref="B73">[1]!SignTest(B52:B71,F52:F71,2)</f>
        <v>0.82380294799804688</v>
      </c>
      <c r="C73" s="2" cm="1">
        <f t="array" ref="C73">[1]!SignTest(C52:C71,G52:G71,2)</f>
        <v>1.9073486328125E-6</v>
      </c>
    </row>
    <row r="74" spans="1:24" ht="21" x14ac:dyDescent="0.5">
      <c r="A74" s="10" t="s">
        <v>3</v>
      </c>
      <c r="B74" s="10"/>
      <c r="C74" s="10"/>
      <c r="E74" s="10" t="s">
        <v>3</v>
      </c>
      <c r="F74" s="10"/>
      <c r="G74" s="10"/>
      <c r="H74" s="1"/>
      <c r="I74" s="10" t="s">
        <v>3</v>
      </c>
      <c r="J74" s="10"/>
      <c r="K74" s="10"/>
      <c r="L74" s="1"/>
      <c r="M74" s="10" t="s">
        <v>3</v>
      </c>
      <c r="N74" s="10"/>
      <c r="O74" s="10"/>
      <c r="P74" s="1"/>
      <c r="Q74" s="10" t="s">
        <v>3</v>
      </c>
      <c r="R74" s="10"/>
      <c r="S74" s="10"/>
      <c r="T74" s="1"/>
      <c r="U74" s="10" t="s">
        <v>3</v>
      </c>
      <c r="V74" s="10"/>
      <c r="W74" s="10"/>
      <c r="X74" s="1"/>
    </row>
    <row r="75" spans="1:24" x14ac:dyDescent="0.35">
      <c r="A75" s="2" t="s">
        <v>15</v>
      </c>
      <c r="B75" s="2" t="s">
        <v>16</v>
      </c>
      <c r="C75" s="2" t="s">
        <v>17</v>
      </c>
      <c r="E75" s="2" t="s">
        <v>15</v>
      </c>
      <c r="F75" s="2" t="s">
        <v>16</v>
      </c>
      <c r="G75" s="2" t="s">
        <v>17</v>
      </c>
      <c r="I75" s="2" t="s">
        <v>15</v>
      </c>
      <c r="J75" s="2" t="s">
        <v>16</v>
      </c>
      <c r="K75" s="2" t="s">
        <v>17</v>
      </c>
      <c r="M75" s="2" t="s">
        <v>15</v>
      </c>
      <c r="N75" s="2" t="s">
        <v>16</v>
      </c>
      <c r="O75" s="2" t="s">
        <v>17</v>
      </c>
      <c r="Q75" s="2" t="s">
        <v>15</v>
      </c>
      <c r="R75" s="2" t="s">
        <v>16</v>
      </c>
      <c r="S75" s="2" t="s">
        <v>17</v>
      </c>
      <c r="U75" s="2" t="s">
        <v>15</v>
      </c>
      <c r="V75" s="2" t="s">
        <v>16</v>
      </c>
      <c r="W75" s="2" t="s">
        <v>17</v>
      </c>
    </row>
    <row r="76" spans="1:24" x14ac:dyDescent="0.35">
      <c r="A76" s="2">
        <v>1</v>
      </c>
      <c r="B76" s="2">
        <v>8291.6482031761407</v>
      </c>
      <c r="C76" s="2">
        <v>859.87781199999995</v>
      </c>
      <c r="E76" s="2">
        <v>1</v>
      </c>
      <c r="F76" s="2">
        <v>7916.4747304980701</v>
      </c>
      <c r="G76" s="2">
        <v>904.767426</v>
      </c>
      <c r="I76" s="2">
        <v>1</v>
      </c>
      <c r="J76" s="2">
        <v>9232.1818468838592</v>
      </c>
      <c r="K76" s="2">
        <v>33.098042999999997</v>
      </c>
      <c r="M76" s="2">
        <v>1</v>
      </c>
      <c r="N76" s="2">
        <v>8672.1576915293408</v>
      </c>
      <c r="O76" s="2">
        <v>1252.065157</v>
      </c>
      <c r="Q76" s="2">
        <v>1</v>
      </c>
      <c r="R76" s="2">
        <v>9584.1775663990502</v>
      </c>
      <c r="S76" s="2">
        <v>31.260052000000002</v>
      </c>
      <c r="U76" s="2">
        <v>1</v>
      </c>
      <c r="V76" s="2">
        <v>10013.7961596638</v>
      </c>
      <c r="W76" s="2">
        <v>32.930489000000001</v>
      </c>
    </row>
    <row r="77" spans="1:24" x14ac:dyDescent="0.35">
      <c r="A77" s="2">
        <v>2</v>
      </c>
      <c r="B77" s="2">
        <v>8168.6561572672599</v>
      </c>
      <c r="C77" s="2">
        <v>863.85044700000003</v>
      </c>
      <c r="E77" s="2">
        <v>2</v>
      </c>
      <c r="F77" s="2">
        <v>8061.1403113361102</v>
      </c>
      <c r="G77" s="2">
        <v>915.83349099999998</v>
      </c>
      <c r="I77" s="2">
        <v>2</v>
      </c>
      <c r="J77" s="2">
        <v>9012.4294749696001</v>
      </c>
      <c r="K77" s="2">
        <v>32.027183999999998</v>
      </c>
      <c r="M77" s="2">
        <v>2</v>
      </c>
      <c r="N77" s="2">
        <v>8397.7902363365702</v>
      </c>
      <c r="O77" s="2">
        <v>1247.314386</v>
      </c>
      <c r="Q77" s="2">
        <v>2</v>
      </c>
      <c r="R77" s="2">
        <v>9641.2924334502495</v>
      </c>
      <c r="S77" s="2">
        <v>33.146400999999997</v>
      </c>
      <c r="U77" s="2">
        <v>2</v>
      </c>
      <c r="V77" s="2">
        <v>9855.5967503416796</v>
      </c>
      <c r="W77" s="2">
        <v>32.651539999999997</v>
      </c>
    </row>
    <row r="78" spans="1:24" x14ac:dyDescent="0.35">
      <c r="A78" s="2">
        <v>3</v>
      </c>
      <c r="B78" s="2">
        <v>8279.9140235324794</v>
      </c>
      <c r="C78" s="2">
        <v>855.33214699999996</v>
      </c>
      <c r="E78" s="2">
        <v>3</v>
      </c>
      <c r="F78" s="2">
        <v>8125.2523072379399</v>
      </c>
      <c r="G78" s="2">
        <v>910.93342500000006</v>
      </c>
      <c r="I78" s="2">
        <v>3</v>
      </c>
      <c r="J78" s="2">
        <v>8868.2039072781408</v>
      </c>
      <c r="K78" s="2">
        <v>32.538620000000002</v>
      </c>
      <c r="M78" s="2">
        <v>3</v>
      </c>
      <c r="N78" s="2">
        <v>8364.7222546134308</v>
      </c>
      <c r="O78" s="2">
        <v>1240.9872359999999</v>
      </c>
      <c r="Q78" s="2">
        <v>3</v>
      </c>
      <c r="R78" s="2">
        <v>9690.2743574038104</v>
      </c>
      <c r="S78" s="2">
        <v>31.760100999999999</v>
      </c>
      <c r="U78" s="2">
        <v>3</v>
      </c>
      <c r="V78" s="2">
        <v>9192.7508581767906</v>
      </c>
      <c r="W78" s="2">
        <v>32.803216999999997</v>
      </c>
    </row>
    <row r="79" spans="1:24" x14ac:dyDescent="0.35">
      <c r="A79" s="2">
        <v>4</v>
      </c>
      <c r="B79" s="2">
        <v>8329.4831366527906</v>
      </c>
      <c r="C79" s="2">
        <v>868.46465999999998</v>
      </c>
      <c r="E79" s="2">
        <v>4</v>
      </c>
      <c r="F79" s="2">
        <v>8092.7186405398497</v>
      </c>
      <c r="G79" s="2">
        <v>904.84530700000005</v>
      </c>
      <c r="I79" s="2">
        <v>4</v>
      </c>
      <c r="J79" s="2">
        <v>9142.8396520566803</v>
      </c>
      <c r="K79" s="2">
        <v>32.788423000000002</v>
      </c>
      <c r="M79" s="2">
        <v>4</v>
      </c>
      <c r="N79" s="2">
        <v>8379.8967398847599</v>
      </c>
      <c r="O79" s="2">
        <v>1236.4609820000001</v>
      </c>
      <c r="Q79" s="2">
        <v>4</v>
      </c>
      <c r="R79" s="2">
        <v>9437.8668120059701</v>
      </c>
      <c r="S79" s="2">
        <v>33.005777999999999</v>
      </c>
      <c r="U79" s="2">
        <v>4</v>
      </c>
      <c r="V79" s="2">
        <v>9532.6900424584892</v>
      </c>
      <c r="W79" s="2">
        <v>32.360988999999996</v>
      </c>
    </row>
    <row r="80" spans="1:24" x14ac:dyDescent="0.35">
      <c r="A80" s="2">
        <v>5</v>
      </c>
      <c r="B80" s="2">
        <v>7974.1592534353404</v>
      </c>
      <c r="C80" s="2">
        <v>864.82448299999999</v>
      </c>
      <c r="E80" s="2">
        <v>5</v>
      </c>
      <c r="F80" s="2">
        <v>8295.9624440835996</v>
      </c>
      <c r="G80" s="2">
        <v>916.65312700000004</v>
      </c>
      <c r="I80" s="2">
        <v>5</v>
      </c>
      <c r="J80" s="2">
        <v>9111.0316698345596</v>
      </c>
      <c r="K80" s="2">
        <v>33.263815999999998</v>
      </c>
      <c r="M80" s="2">
        <v>5</v>
      </c>
      <c r="N80" s="2">
        <v>8468.1927123892401</v>
      </c>
      <c r="O80" s="2">
        <v>1240.878117</v>
      </c>
      <c r="Q80" s="2">
        <v>5</v>
      </c>
      <c r="R80" s="2">
        <v>9378.8948239536094</v>
      </c>
      <c r="S80" s="2">
        <v>33.342706</v>
      </c>
      <c r="U80" s="2">
        <v>5</v>
      </c>
      <c r="V80" s="2">
        <v>9127.7063360369793</v>
      </c>
      <c r="W80" s="2">
        <v>32.051541</v>
      </c>
    </row>
    <row r="81" spans="1:24" x14ac:dyDescent="0.35">
      <c r="A81" s="2">
        <v>6</v>
      </c>
      <c r="B81" s="2">
        <v>8123.3358172739399</v>
      </c>
      <c r="C81" s="2">
        <v>861.28654500000005</v>
      </c>
      <c r="E81" s="2">
        <v>6</v>
      </c>
      <c r="F81" s="2">
        <v>7920.9950667141702</v>
      </c>
      <c r="G81" s="2">
        <v>909.36520099999996</v>
      </c>
      <c r="I81" s="2">
        <v>6</v>
      </c>
      <c r="J81" s="2">
        <v>9606.3690528176703</v>
      </c>
      <c r="K81" s="2">
        <v>33.222639000000001</v>
      </c>
      <c r="M81" s="2">
        <v>6</v>
      </c>
      <c r="N81" s="2">
        <v>8669.0491806047903</v>
      </c>
      <c r="O81" s="2">
        <v>1239.5828590000001</v>
      </c>
      <c r="Q81" s="2">
        <v>6</v>
      </c>
      <c r="R81" s="2">
        <v>9403.2542417557306</v>
      </c>
      <c r="S81" s="2">
        <v>33.421131000000003</v>
      </c>
      <c r="U81" s="2">
        <v>6</v>
      </c>
      <c r="V81" s="2">
        <v>9091.0675012663996</v>
      </c>
      <c r="W81" s="2">
        <v>33.131031999999998</v>
      </c>
    </row>
    <row r="82" spans="1:24" x14ac:dyDescent="0.35">
      <c r="A82" s="2">
        <v>7</v>
      </c>
      <c r="B82" s="2">
        <v>8514.0848905927396</v>
      </c>
      <c r="C82" s="2">
        <v>862.67711299999996</v>
      </c>
      <c r="E82" s="2">
        <v>7</v>
      </c>
      <c r="F82" s="2">
        <v>8286.4732275713595</v>
      </c>
      <c r="G82" s="2">
        <v>912.55174</v>
      </c>
      <c r="I82" s="2">
        <v>7</v>
      </c>
      <c r="J82" s="2">
        <v>9292.3139800524696</v>
      </c>
      <c r="K82" s="2">
        <v>32.821407000000001</v>
      </c>
      <c r="M82" s="2">
        <v>7</v>
      </c>
      <c r="N82" s="2">
        <v>8244.5195350221802</v>
      </c>
      <c r="O82" s="2">
        <v>1238.9112709999999</v>
      </c>
      <c r="Q82" s="2">
        <v>7</v>
      </c>
      <c r="R82" s="2">
        <v>9909.4177708996904</v>
      </c>
      <c r="S82" s="2">
        <v>31.74455</v>
      </c>
      <c r="U82" s="2">
        <v>7</v>
      </c>
      <c r="V82" s="2">
        <v>9665.1324319647701</v>
      </c>
      <c r="W82" s="2">
        <v>31.554790000000001</v>
      </c>
    </row>
    <row r="83" spans="1:24" x14ac:dyDescent="0.35">
      <c r="A83" s="2">
        <v>8</v>
      </c>
      <c r="B83" s="2">
        <v>8169.72400504494</v>
      </c>
      <c r="C83" s="2">
        <v>864.12111000000004</v>
      </c>
      <c r="E83" s="2">
        <v>8</v>
      </c>
      <c r="F83" s="2">
        <v>8059.7497497571603</v>
      </c>
      <c r="G83" s="2">
        <v>908.53845699999999</v>
      </c>
      <c r="I83" s="2">
        <v>8</v>
      </c>
      <c r="J83" s="2">
        <v>9131.5265086415402</v>
      </c>
      <c r="K83" s="2">
        <v>29.719607</v>
      </c>
      <c r="M83" s="2">
        <v>8</v>
      </c>
      <c r="N83" s="2">
        <v>8540.6040950225797</v>
      </c>
      <c r="O83" s="2">
        <v>1245.7681</v>
      </c>
      <c r="Q83" s="2">
        <v>8</v>
      </c>
      <c r="R83" s="2">
        <v>9698.2313529346393</v>
      </c>
      <c r="S83" s="2">
        <v>32.965932000000002</v>
      </c>
      <c r="U83" s="2">
        <v>8</v>
      </c>
      <c r="V83" s="2">
        <v>9218.7889954606999</v>
      </c>
      <c r="W83" s="2">
        <v>31.996400000000001</v>
      </c>
    </row>
    <row r="84" spans="1:24" x14ac:dyDescent="0.35">
      <c r="A84" s="2">
        <v>9</v>
      </c>
      <c r="B84" s="2">
        <v>8269.54021453104</v>
      </c>
      <c r="C84" s="2">
        <v>862.46368099999995</v>
      </c>
      <c r="E84" s="2">
        <v>9</v>
      </c>
      <c r="F84" s="2">
        <v>8057.1632614475802</v>
      </c>
      <c r="G84" s="2">
        <v>909.894271</v>
      </c>
      <c r="I84" s="2">
        <v>9</v>
      </c>
      <c r="J84" s="2">
        <v>9856.5643186100606</v>
      </c>
      <c r="K84" s="2">
        <v>32.005090000000003</v>
      </c>
      <c r="M84" s="2">
        <v>9</v>
      </c>
      <c r="N84" s="2">
        <v>8446.6858806507098</v>
      </c>
      <c r="O84" s="2">
        <v>1232.017685</v>
      </c>
      <c r="Q84" s="2">
        <v>9</v>
      </c>
      <c r="R84" s="2">
        <v>9486.6976043683298</v>
      </c>
      <c r="S84" s="2">
        <v>31.750043999999999</v>
      </c>
      <c r="U84" s="2">
        <v>9</v>
      </c>
      <c r="V84" s="2">
        <v>10094.313073699999</v>
      </c>
      <c r="W84" s="2">
        <v>32.836942000000001</v>
      </c>
    </row>
    <row r="85" spans="1:24" x14ac:dyDescent="0.35">
      <c r="A85" s="2">
        <v>10</v>
      </c>
      <c r="B85" s="2">
        <v>7954.3386890452502</v>
      </c>
      <c r="C85" s="2">
        <v>862.18877199999997</v>
      </c>
      <c r="E85" s="2">
        <v>10</v>
      </c>
      <c r="F85" s="2">
        <v>8218.5307119104291</v>
      </c>
      <c r="G85" s="2">
        <v>910.21363099999996</v>
      </c>
      <c r="I85" s="2">
        <v>10</v>
      </c>
      <c r="J85" s="2">
        <v>9661.1034451068299</v>
      </c>
      <c r="K85" s="2">
        <v>32.388120000000001</v>
      </c>
      <c r="M85" s="2">
        <v>10</v>
      </c>
      <c r="N85" s="2">
        <v>8468.1927123892401</v>
      </c>
      <c r="O85" s="2">
        <v>1248.316969</v>
      </c>
      <c r="Q85" s="2">
        <v>10</v>
      </c>
      <c r="R85" s="2">
        <v>9437.8668120059701</v>
      </c>
      <c r="S85" s="2">
        <v>33.382967999999998</v>
      </c>
      <c r="U85" s="2">
        <v>10</v>
      </c>
      <c r="V85" s="2">
        <v>9296.3863513918295</v>
      </c>
      <c r="W85" s="2">
        <v>33.565987</v>
      </c>
    </row>
    <row r="86" spans="1:24" x14ac:dyDescent="0.35">
      <c r="A86" s="2">
        <v>11</v>
      </c>
      <c r="B86" s="2">
        <v>8096.11842204191</v>
      </c>
      <c r="C86" s="2">
        <v>861.48617999999999</v>
      </c>
      <c r="E86" s="2">
        <v>11</v>
      </c>
      <c r="F86" s="2">
        <v>8214.1492471191796</v>
      </c>
      <c r="G86" s="2">
        <v>913.84314400000005</v>
      </c>
      <c r="I86" s="2">
        <v>11</v>
      </c>
      <c r="J86" s="2">
        <v>8993.0540360035502</v>
      </c>
      <c r="K86" s="2">
        <v>33.420319999999997</v>
      </c>
      <c r="M86" s="2">
        <v>11</v>
      </c>
      <c r="N86" s="2">
        <v>8414.4728210687808</v>
      </c>
      <c r="O86" s="2">
        <v>1243.4302949999999</v>
      </c>
      <c r="Q86" s="2">
        <v>11</v>
      </c>
      <c r="R86" s="2">
        <v>9466.3684258944995</v>
      </c>
      <c r="S86" s="2">
        <v>32.075710999999998</v>
      </c>
      <c r="U86" s="2">
        <v>11</v>
      </c>
      <c r="V86" s="2">
        <v>9719.8772873562993</v>
      </c>
      <c r="W86" s="2">
        <v>33.234589999999997</v>
      </c>
    </row>
    <row r="87" spans="1:24" x14ac:dyDescent="0.35">
      <c r="A87" s="2">
        <v>12</v>
      </c>
      <c r="B87" s="2">
        <v>8181.7658825347298</v>
      </c>
      <c r="C87" s="2">
        <v>863.58378700000003</v>
      </c>
      <c r="E87" s="2">
        <v>12</v>
      </c>
      <c r="F87" s="2">
        <v>8149.6511725623004</v>
      </c>
      <c r="G87" s="2">
        <v>902.649317</v>
      </c>
      <c r="I87" s="2">
        <v>12</v>
      </c>
      <c r="J87" s="2">
        <v>9102.9500881214408</v>
      </c>
      <c r="K87" s="2">
        <v>33.845902000000002</v>
      </c>
      <c r="M87" s="2">
        <v>12</v>
      </c>
      <c r="N87" s="2">
        <v>8730.4672978054095</v>
      </c>
      <c r="O87" s="2">
        <v>1245.41893</v>
      </c>
      <c r="Q87" s="2">
        <v>12</v>
      </c>
      <c r="R87" s="2">
        <v>9347.9325883666206</v>
      </c>
      <c r="S87" s="2">
        <v>33.512090999999998</v>
      </c>
      <c r="U87" s="2">
        <v>12</v>
      </c>
      <c r="V87" s="2">
        <v>9826.8580516355196</v>
      </c>
      <c r="W87" s="2">
        <v>32.028959</v>
      </c>
    </row>
    <row r="88" spans="1:24" x14ac:dyDescent="0.35">
      <c r="A88" s="2">
        <v>13</v>
      </c>
      <c r="B88" s="2">
        <v>8336.8761604420797</v>
      </c>
      <c r="C88" s="2">
        <v>861.34642199999996</v>
      </c>
      <c r="E88" s="2">
        <v>13</v>
      </c>
      <c r="F88" s="2">
        <v>8232.6755938659207</v>
      </c>
      <c r="G88" s="2">
        <v>923.11021000000005</v>
      </c>
      <c r="I88" s="2">
        <v>13</v>
      </c>
      <c r="J88" s="2">
        <v>9071.9934973762392</v>
      </c>
      <c r="K88" s="2">
        <v>33.305433999999998</v>
      </c>
      <c r="M88" s="2">
        <v>13</v>
      </c>
      <c r="N88" s="2">
        <v>8379.9063427127803</v>
      </c>
      <c r="O88" s="2">
        <v>1248.2425430000001</v>
      </c>
      <c r="Q88" s="2">
        <v>13</v>
      </c>
      <c r="R88" s="2">
        <v>9562.1991038970791</v>
      </c>
      <c r="S88" s="2">
        <v>32.813018999999997</v>
      </c>
      <c r="U88" s="2">
        <v>13</v>
      </c>
      <c r="V88" s="2">
        <v>9603.5994726978097</v>
      </c>
      <c r="W88" s="2">
        <v>32.933204000000003</v>
      </c>
    </row>
    <row r="89" spans="1:24" x14ac:dyDescent="0.35">
      <c r="A89" s="2">
        <v>14</v>
      </c>
      <c r="B89" s="2">
        <v>8052.6637270116798</v>
      </c>
      <c r="C89" s="2">
        <v>864.53422799999998</v>
      </c>
      <c r="E89" s="2">
        <v>14</v>
      </c>
      <c r="F89" s="2">
        <v>7962.3048811036897</v>
      </c>
      <c r="G89" s="2">
        <v>903.75166200000001</v>
      </c>
      <c r="I89" s="2">
        <v>14</v>
      </c>
      <c r="J89" s="2">
        <v>9351.6934133693303</v>
      </c>
      <c r="K89" s="2">
        <v>33.164755</v>
      </c>
      <c r="M89" s="2">
        <v>14</v>
      </c>
      <c r="N89" s="2">
        <v>8563.8845415100004</v>
      </c>
      <c r="O89" s="2">
        <v>1248.5568599999999</v>
      </c>
      <c r="Q89" s="2">
        <v>14</v>
      </c>
      <c r="R89" s="2">
        <v>9403.2542417557306</v>
      </c>
      <c r="S89" s="2">
        <v>32.895173</v>
      </c>
      <c r="U89" s="2">
        <v>14</v>
      </c>
      <c r="V89" s="2">
        <v>9849.3254478503404</v>
      </c>
      <c r="W89" s="2">
        <v>32.854621999999999</v>
      </c>
    </row>
    <row r="90" spans="1:24" x14ac:dyDescent="0.35">
      <c r="A90" s="2">
        <v>15</v>
      </c>
      <c r="B90" s="2">
        <v>8089.1225921143896</v>
      </c>
      <c r="C90" s="2">
        <v>860.85972000000004</v>
      </c>
      <c r="E90" s="2">
        <v>15</v>
      </c>
      <c r="F90" s="2">
        <v>7911.3048171524697</v>
      </c>
      <c r="G90" s="2">
        <v>911.29872599999999</v>
      </c>
      <c r="I90" s="2">
        <v>15</v>
      </c>
      <c r="J90" s="2">
        <v>9101.3401209586791</v>
      </c>
      <c r="K90" s="2">
        <v>32.885947999999999</v>
      </c>
      <c r="M90" s="2">
        <v>15</v>
      </c>
      <c r="N90" s="2">
        <v>8327.7585726298494</v>
      </c>
      <c r="O90" s="2">
        <v>1251.3281139999999</v>
      </c>
      <c r="Q90" s="2">
        <v>15</v>
      </c>
      <c r="R90" s="2">
        <v>9505.6150901451001</v>
      </c>
      <c r="S90" s="2">
        <v>32.237129000000003</v>
      </c>
      <c r="U90" s="2">
        <v>15</v>
      </c>
      <c r="V90" s="2">
        <v>9800.2192457609999</v>
      </c>
      <c r="W90" s="2">
        <v>33.127282999999998</v>
      </c>
    </row>
    <row r="91" spans="1:24" x14ac:dyDescent="0.35">
      <c r="A91" s="2">
        <v>16</v>
      </c>
      <c r="B91" s="2">
        <v>7920.9950667141702</v>
      </c>
      <c r="C91" s="2">
        <v>864.75407600000005</v>
      </c>
      <c r="E91" s="2">
        <v>16</v>
      </c>
      <c r="F91" s="2">
        <v>8315.1150187043404</v>
      </c>
      <c r="G91" s="2">
        <v>914.03479400000003</v>
      </c>
      <c r="I91" s="2">
        <v>16</v>
      </c>
      <c r="J91" s="2">
        <v>9257.6983081445906</v>
      </c>
      <c r="K91" s="2">
        <v>33.228245999999999</v>
      </c>
      <c r="M91" s="2">
        <v>16</v>
      </c>
      <c r="N91" s="2">
        <v>8284.6538469401094</v>
      </c>
      <c r="O91" s="2">
        <v>1246.5298359999999</v>
      </c>
      <c r="Q91" s="2">
        <v>16</v>
      </c>
      <c r="R91" s="2">
        <v>9582.4191395421294</v>
      </c>
      <c r="S91" s="2">
        <v>33.441305999999997</v>
      </c>
      <c r="U91" s="2">
        <v>16</v>
      </c>
      <c r="V91" s="2">
        <v>9033.0549312753101</v>
      </c>
      <c r="W91" s="2">
        <v>32.623095999999997</v>
      </c>
    </row>
    <row r="92" spans="1:24" x14ac:dyDescent="0.35">
      <c r="A92" s="2">
        <v>17</v>
      </c>
      <c r="B92" s="2">
        <v>8017.7527570640495</v>
      </c>
      <c r="C92" s="2">
        <v>850.84277399999996</v>
      </c>
      <c r="E92" s="2">
        <v>17</v>
      </c>
      <c r="F92" s="2">
        <v>8178.6853446859805</v>
      </c>
      <c r="G92" s="2">
        <v>912.28191900000002</v>
      </c>
      <c r="I92" s="2">
        <v>17</v>
      </c>
      <c r="J92" s="2">
        <v>9281.2437501175209</v>
      </c>
      <c r="K92" s="2">
        <v>32.683332</v>
      </c>
      <c r="M92" s="2">
        <v>17</v>
      </c>
      <c r="N92" s="2">
        <v>8282.7806106213193</v>
      </c>
      <c r="O92" s="2">
        <v>1217.656663</v>
      </c>
      <c r="Q92" s="2">
        <v>17</v>
      </c>
      <c r="R92" s="2">
        <v>9658.1360920411298</v>
      </c>
      <c r="S92" s="2">
        <v>32.276825000000002</v>
      </c>
      <c r="U92" s="2">
        <v>17</v>
      </c>
      <c r="V92" s="2">
        <v>9488.3134949274609</v>
      </c>
      <c r="W92" s="2">
        <v>32.098284</v>
      </c>
    </row>
    <row r="93" spans="1:24" x14ac:dyDescent="0.35">
      <c r="A93" s="2">
        <v>18</v>
      </c>
      <c r="B93" s="2">
        <v>8549.6559037759907</v>
      </c>
      <c r="C93" s="2">
        <v>863.26853700000004</v>
      </c>
      <c r="E93" s="2">
        <v>18</v>
      </c>
      <c r="F93" s="2">
        <v>7979.3791439810802</v>
      </c>
      <c r="G93" s="2">
        <v>921.39300900000001</v>
      </c>
      <c r="I93" s="2">
        <v>18</v>
      </c>
      <c r="J93" s="2">
        <v>9132.4461865470093</v>
      </c>
      <c r="K93" s="2">
        <v>33.458801999999999</v>
      </c>
      <c r="M93" s="2">
        <v>18</v>
      </c>
      <c r="N93" s="2">
        <v>8570.6027354484395</v>
      </c>
      <c r="O93" s="2">
        <v>1246.8899570000001</v>
      </c>
      <c r="Q93" s="2">
        <v>18</v>
      </c>
      <c r="R93" s="2">
        <v>9676.9899331733905</v>
      </c>
      <c r="S93" s="2">
        <v>33.294029999999999</v>
      </c>
      <c r="U93" s="2">
        <v>18</v>
      </c>
      <c r="V93" s="2">
        <v>9163.9939972846005</v>
      </c>
      <c r="W93" s="2">
        <v>33.160767</v>
      </c>
    </row>
    <row r="94" spans="1:24" x14ac:dyDescent="0.35">
      <c r="A94" s="2">
        <v>19</v>
      </c>
      <c r="B94" s="2">
        <v>8214.1412417891297</v>
      </c>
      <c r="C94" s="2">
        <v>859.17333900000006</v>
      </c>
      <c r="E94" s="2">
        <v>19</v>
      </c>
      <c r="F94" s="2">
        <v>8038.6543272175404</v>
      </c>
      <c r="G94" s="2">
        <v>909.87961800000005</v>
      </c>
      <c r="I94" s="2">
        <v>19</v>
      </c>
      <c r="J94" s="2">
        <v>8928.9296794823695</v>
      </c>
      <c r="K94" s="2">
        <v>32.680846000000003</v>
      </c>
      <c r="M94" s="2">
        <v>19</v>
      </c>
      <c r="N94" s="2">
        <v>8364.8739996232907</v>
      </c>
      <c r="O94" s="2">
        <v>1243.4298200000001</v>
      </c>
      <c r="Q94" s="2">
        <v>19</v>
      </c>
      <c r="R94" s="2">
        <v>9525.7217423942802</v>
      </c>
      <c r="S94" s="2">
        <v>33.262002000000003</v>
      </c>
      <c r="U94" s="2">
        <v>19</v>
      </c>
      <c r="V94" s="2">
        <v>9338.1501996254192</v>
      </c>
      <c r="W94" s="2">
        <v>33.691535000000002</v>
      </c>
    </row>
    <row r="95" spans="1:24" x14ac:dyDescent="0.35">
      <c r="A95" s="2">
        <v>20</v>
      </c>
      <c r="B95" s="2">
        <v>8026.1913204640596</v>
      </c>
      <c r="C95" s="2">
        <v>857.90375900000004</v>
      </c>
      <c r="E95" s="2">
        <v>20</v>
      </c>
      <c r="F95" s="2">
        <v>8021.4587143852696</v>
      </c>
      <c r="G95" s="2">
        <v>914.98700199999996</v>
      </c>
      <c r="I95" s="2">
        <v>20</v>
      </c>
      <c r="J95" s="2">
        <v>8408.4106954738709</v>
      </c>
      <c r="K95" s="2">
        <v>33.353439999999999</v>
      </c>
      <c r="M95" s="2">
        <v>20</v>
      </c>
      <c r="N95" s="2">
        <v>8414.4728210687808</v>
      </c>
      <c r="O95" s="2">
        <v>1248.3853899999999</v>
      </c>
      <c r="Q95" s="2">
        <v>20</v>
      </c>
      <c r="R95" s="2">
        <v>9347.9325883666206</v>
      </c>
      <c r="S95" s="2">
        <v>33.139141000000002</v>
      </c>
      <c r="U95" s="2">
        <v>20</v>
      </c>
      <c r="V95" s="2">
        <v>9705.1784282286608</v>
      </c>
      <c r="W95" s="2">
        <v>33.027813000000002</v>
      </c>
    </row>
    <row r="96" spans="1:24" x14ac:dyDescent="0.35">
      <c r="A96" s="2" t="s">
        <v>19</v>
      </c>
      <c r="B96" s="3">
        <f>AVERAGE(B76:B95)</f>
        <v>8178.0083732252051</v>
      </c>
      <c r="C96" s="3">
        <f>AVERAGE(C76:C95)</f>
        <v>861.64197960000001</v>
      </c>
      <c r="F96" s="3">
        <f>AVERAGE(F76:F95)</f>
        <v>8101.8919355937014</v>
      </c>
      <c r="G96" s="3">
        <f>AVERAGE(G76:G95)</f>
        <v>911.54127385000015</v>
      </c>
      <c r="H96" s="3"/>
      <c r="J96" s="3">
        <f>AVERAGE(J76:J95)</f>
        <v>9177.2161815922991</v>
      </c>
      <c r="K96" s="3">
        <f>AVERAGE(K76:K95)</f>
        <v>32.794998699999994</v>
      </c>
      <c r="L96" s="3"/>
      <c r="N96" s="3">
        <f>AVERAGE(N76:N95)</f>
        <v>8449.2842313935798</v>
      </c>
      <c r="O96" s="3">
        <f>AVERAGE(O76:O95)</f>
        <v>1243.1085585000001</v>
      </c>
      <c r="P96" s="3"/>
      <c r="R96" s="3">
        <f>AVERAGE(R76:R95)</f>
        <v>9537.2271360376799</v>
      </c>
      <c r="S96" s="3">
        <f>AVERAGE(S76:S95)</f>
        <v>32.736304500000003</v>
      </c>
      <c r="T96" s="3"/>
      <c r="V96" s="3">
        <f>AVERAGE(V76:V95)</f>
        <v>9530.8399528551909</v>
      </c>
      <c r="W96" s="3">
        <f>AVERAGE(W76:W95)</f>
        <v>32.733153999999999</v>
      </c>
      <c r="X96" s="3"/>
    </row>
    <row r="97" spans="1:24" x14ac:dyDescent="0.35">
      <c r="A97" s="2" t="s">
        <v>36</v>
      </c>
      <c r="B97" s="2" cm="1">
        <f t="array" ref="B97">[1]!SignTest(B76:B95,F76:F95,2)</f>
        <v>4.1389465332031271E-2</v>
      </c>
      <c r="C97" s="2" cm="1">
        <f t="array" ref="C97">[1]!SignTest(C76:C95,G76:G95,2)</f>
        <v>1.9073486328125E-6</v>
      </c>
    </row>
    <row r="98" spans="1:24" ht="21" x14ac:dyDescent="0.5">
      <c r="A98" s="10" t="s">
        <v>4</v>
      </c>
      <c r="B98" s="10"/>
      <c r="C98" s="10"/>
      <c r="E98" s="10" t="s">
        <v>4</v>
      </c>
      <c r="F98" s="10"/>
      <c r="G98" s="10"/>
      <c r="H98" s="1"/>
      <c r="I98" s="10" t="s">
        <v>4</v>
      </c>
      <c r="J98" s="10"/>
      <c r="K98" s="10"/>
      <c r="L98" s="1"/>
      <c r="M98" s="10" t="s">
        <v>4</v>
      </c>
      <c r="N98" s="10"/>
      <c r="O98" s="10"/>
      <c r="P98" s="1"/>
      <c r="Q98" s="10" t="s">
        <v>4</v>
      </c>
      <c r="R98" s="10"/>
      <c r="S98" s="10"/>
      <c r="T98" s="1"/>
      <c r="U98" s="10" t="s">
        <v>4</v>
      </c>
      <c r="V98" s="10"/>
      <c r="W98" s="10"/>
      <c r="X98" s="1"/>
    </row>
    <row r="99" spans="1:24" x14ac:dyDescent="0.35">
      <c r="A99" s="2" t="s">
        <v>15</v>
      </c>
      <c r="B99" s="2" t="s">
        <v>16</v>
      </c>
      <c r="C99" s="2" t="s">
        <v>17</v>
      </c>
      <c r="E99" s="2" t="s">
        <v>15</v>
      </c>
      <c r="F99" s="2" t="s">
        <v>16</v>
      </c>
      <c r="G99" s="2" t="s">
        <v>17</v>
      </c>
      <c r="I99" s="2" t="s">
        <v>15</v>
      </c>
      <c r="J99" s="2" t="s">
        <v>16</v>
      </c>
      <c r="K99" s="2" t="s">
        <v>17</v>
      </c>
      <c r="M99" s="2" t="s">
        <v>15</v>
      </c>
      <c r="N99" s="2" t="s">
        <v>16</v>
      </c>
      <c r="O99" s="2" t="s">
        <v>17</v>
      </c>
      <c r="Q99" s="2" t="s">
        <v>15</v>
      </c>
      <c r="R99" s="2" t="s">
        <v>16</v>
      </c>
      <c r="S99" s="2" t="s">
        <v>17</v>
      </c>
      <c r="U99" s="2" t="s">
        <v>15</v>
      </c>
      <c r="V99" s="2" t="s">
        <v>16</v>
      </c>
      <c r="W99" s="2" t="s">
        <v>17</v>
      </c>
    </row>
    <row r="100" spans="1:24" x14ac:dyDescent="0.35">
      <c r="A100" s="2">
        <v>1</v>
      </c>
      <c r="B100" s="2">
        <v>668.51779951331298</v>
      </c>
      <c r="C100" s="2">
        <v>815.98347999999999</v>
      </c>
      <c r="E100" s="2">
        <v>1</v>
      </c>
      <c r="F100" s="2">
        <v>644.30899088596698</v>
      </c>
      <c r="G100" s="2">
        <v>856.27100800000005</v>
      </c>
      <c r="I100" s="2">
        <v>1</v>
      </c>
      <c r="J100" s="2">
        <v>725.54407570378498</v>
      </c>
      <c r="K100" s="2">
        <v>34.020392999999999</v>
      </c>
      <c r="M100" s="2">
        <v>1</v>
      </c>
      <c r="N100" s="2">
        <v>679.54675013226995</v>
      </c>
      <c r="O100" s="2">
        <v>1167.9970900000001</v>
      </c>
      <c r="Q100" s="2">
        <v>1</v>
      </c>
      <c r="R100" s="2">
        <v>787.62522743957197</v>
      </c>
      <c r="S100" s="2">
        <v>32.621971000000002</v>
      </c>
      <c r="U100" s="2">
        <v>1</v>
      </c>
      <c r="V100" s="2">
        <v>766.44992254384101</v>
      </c>
      <c r="W100" s="2">
        <v>33.268154000000003</v>
      </c>
    </row>
    <row r="101" spans="1:24" x14ac:dyDescent="0.35">
      <c r="A101" s="2">
        <v>2</v>
      </c>
      <c r="B101" s="2">
        <v>654.40396085981195</v>
      </c>
      <c r="C101" s="2">
        <v>819.88065600000004</v>
      </c>
      <c r="E101" s="2">
        <v>2</v>
      </c>
      <c r="F101" s="2">
        <v>665.27099789359704</v>
      </c>
      <c r="G101" s="2">
        <v>860.503244</v>
      </c>
      <c r="I101" s="2">
        <v>2</v>
      </c>
      <c r="J101" s="2">
        <v>728.99043931512199</v>
      </c>
      <c r="K101" s="2">
        <v>34.240668999999997</v>
      </c>
      <c r="M101" s="2">
        <v>2</v>
      </c>
      <c r="N101" s="2">
        <v>695.09752480600002</v>
      </c>
      <c r="O101" s="2">
        <v>1179.0376779999999</v>
      </c>
      <c r="Q101" s="2">
        <v>2</v>
      </c>
      <c r="R101" s="2">
        <v>744.84086699029103</v>
      </c>
      <c r="S101" s="2">
        <v>33.347233000000003</v>
      </c>
      <c r="U101" s="2">
        <v>2</v>
      </c>
      <c r="V101" s="2">
        <v>731.12558768374697</v>
      </c>
      <c r="W101" s="2">
        <v>33.907145</v>
      </c>
    </row>
    <row r="102" spans="1:24" x14ac:dyDescent="0.35">
      <c r="A102" s="2">
        <v>3</v>
      </c>
      <c r="B102" s="2">
        <v>664.78189745198495</v>
      </c>
      <c r="C102" s="2">
        <v>795.84031600000003</v>
      </c>
      <c r="E102" s="2">
        <v>3</v>
      </c>
      <c r="F102" s="2">
        <v>655.34565976253896</v>
      </c>
      <c r="G102" s="2">
        <v>860.97353299999997</v>
      </c>
      <c r="I102" s="2">
        <v>3</v>
      </c>
      <c r="J102" s="2">
        <v>752.92614899789203</v>
      </c>
      <c r="K102" s="2">
        <v>32.774076999999998</v>
      </c>
      <c r="M102" s="2">
        <v>3</v>
      </c>
      <c r="N102" s="2">
        <v>669.95201882853803</v>
      </c>
      <c r="O102" s="2">
        <v>1172.307419</v>
      </c>
      <c r="Q102" s="2">
        <v>3</v>
      </c>
      <c r="R102" s="2">
        <v>742.92081097694199</v>
      </c>
      <c r="S102" s="2">
        <v>33.802900999999999</v>
      </c>
      <c r="U102" s="2">
        <v>3</v>
      </c>
      <c r="V102" s="2">
        <v>749.91810381977803</v>
      </c>
      <c r="W102" s="2">
        <v>32.937750000000001</v>
      </c>
    </row>
    <row r="103" spans="1:24" x14ac:dyDescent="0.35">
      <c r="A103" s="2">
        <v>4</v>
      </c>
      <c r="B103" s="2">
        <v>651.85442128357101</v>
      </c>
      <c r="C103" s="2">
        <v>810.11596399999996</v>
      </c>
      <c r="E103" s="2">
        <v>4</v>
      </c>
      <c r="F103" s="2">
        <v>654.89442773624501</v>
      </c>
      <c r="G103" s="2">
        <v>842.89609399999995</v>
      </c>
      <c r="I103" s="2">
        <v>4</v>
      </c>
      <c r="J103" s="2">
        <v>726.42622391800796</v>
      </c>
      <c r="K103" s="2">
        <v>33.331054000000002</v>
      </c>
      <c r="M103" s="2">
        <v>4</v>
      </c>
      <c r="N103" s="2">
        <v>672.60901761088303</v>
      </c>
      <c r="O103" s="2">
        <v>1171.0345600000001</v>
      </c>
      <c r="Q103" s="2">
        <v>4</v>
      </c>
      <c r="R103" s="2">
        <v>780.82214323744404</v>
      </c>
      <c r="S103" s="2">
        <v>33.842675</v>
      </c>
      <c r="U103" s="2">
        <v>4</v>
      </c>
      <c r="V103" s="2">
        <v>764.51583524357397</v>
      </c>
      <c r="W103" s="2">
        <v>32.282164000000002</v>
      </c>
    </row>
    <row r="104" spans="1:24" x14ac:dyDescent="0.35">
      <c r="A104" s="2">
        <v>5</v>
      </c>
      <c r="B104" s="2">
        <v>654.826850615377</v>
      </c>
      <c r="C104" s="2">
        <v>804.71888999999999</v>
      </c>
      <c r="E104" s="2">
        <v>5</v>
      </c>
      <c r="F104" s="2">
        <v>670.90661904036403</v>
      </c>
      <c r="G104" s="2">
        <v>856.99967400000003</v>
      </c>
      <c r="I104" s="2">
        <v>5</v>
      </c>
      <c r="J104" s="2">
        <v>771.18532484988896</v>
      </c>
      <c r="K104" s="2">
        <v>33.915382000000001</v>
      </c>
      <c r="M104" s="2">
        <v>5</v>
      </c>
      <c r="N104" s="2">
        <v>676.34662547868197</v>
      </c>
      <c r="O104" s="2">
        <v>1169.789794</v>
      </c>
      <c r="Q104" s="2">
        <v>5</v>
      </c>
      <c r="R104" s="2">
        <v>787.68684218025396</v>
      </c>
      <c r="S104" s="2">
        <v>34.580083999999999</v>
      </c>
      <c r="U104" s="2">
        <v>5</v>
      </c>
      <c r="V104" s="2">
        <v>773.03480467313102</v>
      </c>
      <c r="W104" s="2">
        <v>33.780042000000002</v>
      </c>
    </row>
    <row r="105" spans="1:24" x14ac:dyDescent="0.35">
      <c r="A105" s="2">
        <v>6</v>
      </c>
      <c r="B105" s="2">
        <v>665.55886525850997</v>
      </c>
      <c r="C105" s="2">
        <v>816.18247899999994</v>
      </c>
      <c r="E105" s="2">
        <v>6</v>
      </c>
      <c r="F105" s="2">
        <v>645.52294444020504</v>
      </c>
      <c r="G105" s="2">
        <v>860.16834300000005</v>
      </c>
      <c r="I105" s="2">
        <v>6</v>
      </c>
      <c r="J105" s="2">
        <v>751.35994274742905</v>
      </c>
      <c r="K105" s="2">
        <v>33.228541</v>
      </c>
      <c r="M105" s="2">
        <v>6</v>
      </c>
      <c r="N105" s="2">
        <v>675.83293175133304</v>
      </c>
      <c r="O105" s="2">
        <v>1176.173853</v>
      </c>
      <c r="Q105" s="2">
        <v>6</v>
      </c>
      <c r="R105" s="2">
        <v>787.49728168551906</v>
      </c>
      <c r="S105" s="2">
        <v>33.494163999999998</v>
      </c>
      <c r="U105" s="2">
        <v>6</v>
      </c>
      <c r="V105" s="2">
        <v>756.86099267953</v>
      </c>
      <c r="W105" s="2">
        <v>31.614535</v>
      </c>
    </row>
    <row r="106" spans="1:24" x14ac:dyDescent="0.35">
      <c r="A106" s="2">
        <v>7</v>
      </c>
      <c r="B106" s="2">
        <v>651.75797887939996</v>
      </c>
      <c r="C106" s="2">
        <v>801.27858400000002</v>
      </c>
      <c r="E106" s="2">
        <v>7</v>
      </c>
      <c r="F106" s="2">
        <v>649.56560420219103</v>
      </c>
      <c r="G106" s="2">
        <v>852.78423899999996</v>
      </c>
      <c r="I106" s="2">
        <v>7</v>
      </c>
      <c r="J106" s="2">
        <v>728.73698947537798</v>
      </c>
      <c r="K106" s="2">
        <v>33.638128999999999</v>
      </c>
      <c r="M106" s="2">
        <v>7</v>
      </c>
      <c r="N106" s="2">
        <v>674.15093076757501</v>
      </c>
      <c r="O106" s="2">
        <v>1156.875446</v>
      </c>
      <c r="Q106" s="2">
        <v>7</v>
      </c>
      <c r="R106" s="2">
        <v>776.84231735308003</v>
      </c>
      <c r="S106" s="2">
        <v>33.797820000000002</v>
      </c>
      <c r="U106" s="2">
        <v>7</v>
      </c>
      <c r="V106" s="2">
        <v>765.91292952946105</v>
      </c>
      <c r="W106" s="2">
        <v>33.958875999999997</v>
      </c>
    </row>
    <row r="107" spans="1:24" x14ac:dyDescent="0.35">
      <c r="A107" s="2">
        <v>8</v>
      </c>
      <c r="B107" s="2">
        <v>664.85208277907498</v>
      </c>
      <c r="C107" s="2">
        <v>813.69205699999998</v>
      </c>
      <c r="E107" s="2">
        <v>8</v>
      </c>
      <c r="F107" s="2">
        <v>657.63071220514803</v>
      </c>
      <c r="G107" s="2">
        <v>853.83800399999996</v>
      </c>
      <c r="I107" s="2">
        <v>8</v>
      </c>
      <c r="J107" s="2">
        <v>713.00118831286204</v>
      </c>
      <c r="K107" s="2">
        <v>32.377662000000001</v>
      </c>
      <c r="M107" s="2">
        <v>8</v>
      </c>
      <c r="N107" s="2">
        <v>667.94494976396095</v>
      </c>
      <c r="O107" s="2">
        <v>1175.705663</v>
      </c>
      <c r="Q107" s="2">
        <v>8</v>
      </c>
      <c r="R107" s="2">
        <v>766.56107908748197</v>
      </c>
      <c r="S107" s="2">
        <v>34.553261999999997</v>
      </c>
      <c r="U107" s="2">
        <v>8</v>
      </c>
      <c r="V107" s="2">
        <v>761.88148253383497</v>
      </c>
      <c r="W107" s="2">
        <v>33.311942000000002</v>
      </c>
    </row>
    <row r="108" spans="1:24" x14ac:dyDescent="0.35">
      <c r="A108" s="2">
        <v>9</v>
      </c>
      <c r="B108" s="2">
        <v>658.97268200751796</v>
      </c>
      <c r="C108" s="2">
        <v>817.05248700000004</v>
      </c>
      <c r="E108" s="2">
        <v>9</v>
      </c>
      <c r="F108" s="2">
        <v>670.27518218739601</v>
      </c>
      <c r="G108" s="2">
        <v>860.23887500000001</v>
      </c>
      <c r="I108" s="2">
        <v>9</v>
      </c>
      <c r="J108" s="2">
        <v>735.73720049265501</v>
      </c>
      <c r="K108" s="2">
        <v>34.117393999999997</v>
      </c>
      <c r="M108" s="2">
        <v>9</v>
      </c>
      <c r="N108" s="2">
        <v>696.03823445641603</v>
      </c>
      <c r="O108" s="2">
        <v>1167.6102719999999</v>
      </c>
      <c r="Q108" s="2">
        <v>9</v>
      </c>
      <c r="R108" s="2">
        <v>774.67754821608003</v>
      </c>
      <c r="S108" s="2">
        <v>33.765368000000002</v>
      </c>
      <c r="U108" s="2">
        <v>9</v>
      </c>
      <c r="V108" s="2">
        <v>762.21578269290796</v>
      </c>
      <c r="W108" s="2">
        <v>33.158284000000002</v>
      </c>
    </row>
    <row r="109" spans="1:24" x14ac:dyDescent="0.35">
      <c r="A109" s="2">
        <v>10</v>
      </c>
      <c r="B109" s="2">
        <v>652.55704016186701</v>
      </c>
      <c r="C109" s="2">
        <v>817.94461100000001</v>
      </c>
      <c r="E109" s="2">
        <v>10</v>
      </c>
      <c r="F109" s="2">
        <v>667.30147732644605</v>
      </c>
      <c r="G109" s="2">
        <v>858.56322599999999</v>
      </c>
      <c r="I109" s="2">
        <v>10</v>
      </c>
      <c r="J109" s="2">
        <v>725.74380437728405</v>
      </c>
      <c r="K109" s="2">
        <v>33.999392999999998</v>
      </c>
      <c r="M109" s="2">
        <v>10</v>
      </c>
      <c r="N109" s="2">
        <v>678.38483823139995</v>
      </c>
      <c r="O109" s="2">
        <v>1171.680607</v>
      </c>
      <c r="Q109" s="2">
        <v>10</v>
      </c>
      <c r="R109" s="2">
        <v>787.48157755035902</v>
      </c>
      <c r="S109" s="2">
        <v>33.217486999999998</v>
      </c>
      <c r="U109" s="2">
        <v>10</v>
      </c>
      <c r="V109" s="2">
        <v>759.09637303260502</v>
      </c>
      <c r="W109" s="2">
        <v>33.330736000000002</v>
      </c>
    </row>
    <row r="110" spans="1:24" x14ac:dyDescent="0.35">
      <c r="A110" s="2">
        <v>11</v>
      </c>
      <c r="B110" s="2">
        <v>655.71311741513796</v>
      </c>
      <c r="C110" s="2">
        <v>811.20685900000001</v>
      </c>
      <c r="E110" s="2">
        <v>11</v>
      </c>
      <c r="F110" s="2">
        <v>670.92224545152703</v>
      </c>
      <c r="G110" s="2">
        <v>861.06291999999996</v>
      </c>
      <c r="I110" s="2">
        <v>11</v>
      </c>
      <c r="J110" s="2">
        <v>715.58302579241297</v>
      </c>
      <c r="K110" s="2">
        <v>33.159232000000003</v>
      </c>
      <c r="M110" s="2">
        <v>11</v>
      </c>
      <c r="N110" s="2">
        <v>712.70347131342999</v>
      </c>
      <c r="O110" s="2">
        <v>1171.3254509999999</v>
      </c>
      <c r="Q110" s="2">
        <v>11</v>
      </c>
      <c r="R110" s="2">
        <v>756.59687004423404</v>
      </c>
      <c r="S110" s="2">
        <v>31.149865999999999</v>
      </c>
      <c r="U110" s="2">
        <v>11</v>
      </c>
      <c r="V110" s="2">
        <v>761.34756075664404</v>
      </c>
      <c r="W110" s="2">
        <v>34.030138000000001</v>
      </c>
    </row>
    <row r="111" spans="1:24" x14ac:dyDescent="0.35">
      <c r="A111" s="2">
        <v>12</v>
      </c>
      <c r="B111" s="2">
        <v>653.99510705356704</v>
      </c>
      <c r="C111" s="2">
        <v>810.88440500000002</v>
      </c>
      <c r="E111" s="2">
        <v>12</v>
      </c>
      <c r="F111" s="2">
        <v>659.61155837711897</v>
      </c>
      <c r="G111" s="2">
        <v>862.91549399999997</v>
      </c>
      <c r="I111" s="2">
        <v>12</v>
      </c>
      <c r="J111" s="2">
        <v>708.67218413907995</v>
      </c>
      <c r="K111" s="2">
        <v>33.079177999999999</v>
      </c>
      <c r="M111" s="2">
        <v>12</v>
      </c>
      <c r="N111" s="2">
        <v>668.19062272876897</v>
      </c>
      <c r="O111" s="2">
        <v>1166.635123</v>
      </c>
      <c r="Q111" s="2">
        <v>12</v>
      </c>
      <c r="R111" s="2">
        <v>834.38063809750702</v>
      </c>
      <c r="S111" s="2">
        <v>32.874586000000001</v>
      </c>
      <c r="U111" s="2">
        <v>12</v>
      </c>
      <c r="V111" s="2">
        <v>765.80956709861198</v>
      </c>
      <c r="W111" s="2">
        <v>33.683239</v>
      </c>
    </row>
    <row r="112" spans="1:24" x14ac:dyDescent="0.35">
      <c r="A112" s="2">
        <v>13</v>
      </c>
      <c r="B112" s="2">
        <v>659.72155760296005</v>
      </c>
      <c r="C112" s="2">
        <v>812.05338800000004</v>
      </c>
      <c r="E112" s="2">
        <v>13</v>
      </c>
      <c r="F112" s="2">
        <v>650.71703883235796</v>
      </c>
      <c r="G112" s="2">
        <v>859.72465899999997</v>
      </c>
      <c r="I112" s="2">
        <v>13</v>
      </c>
      <c r="J112" s="2">
        <v>717.58174800599204</v>
      </c>
      <c r="K112" s="2">
        <v>32.279325999999998</v>
      </c>
      <c r="M112" s="2">
        <v>13</v>
      </c>
      <c r="N112" s="2">
        <v>670.39977441113001</v>
      </c>
      <c r="O112" s="2">
        <v>1184.0486960000001</v>
      </c>
      <c r="Q112" s="2">
        <v>13</v>
      </c>
      <c r="R112" s="2">
        <v>759.56566613648101</v>
      </c>
      <c r="S112" s="2">
        <v>31.975083000000001</v>
      </c>
      <c r="U112" s="2">
        <v>13</v>
      </c>
      <c r="V112" s="2">
        <v>738.50938465323202</v>
      </c>
      <c r="W112" s="2">
        <v>33.474291999999998</v>
      </c>
    </row>
    <row r="113" spans="1:24" x14ac:dyDescent="0.35">
      <c r="A113" s="2">
        <v>14</v>
      </c>
      <c r="B113" s="2">
        <v>657.10674918644895</v>
      </c>
      <c r="C113" s="2">
        <v>814.75595199999998</v>
      </c>
      <c r="E113" s="2">
        <v>14</v>
      </c>
      <c r="F113" s="2">
        <v>667.43774553567403</v>
      </c>
      <c r="G113" s="2">
        <v>860.81061799999998</v>
      </c>
      <c r="I113" s="2">
        <v>14</v>
      </c>
      <c r="J113" s="2">
        <v>752.97541935615402</v>
      </c>
      <c r="K113" s="2">
        <v>32.183743</v>
      </c>
      <c r="M113" s="2">
        <v>14</v>
      </c>
      <c r="N113" s="2">
        <v>685.06490024805703</v>
      </c>
      <c r="O113" s="2">
        <v>1170.2459120000001</v>
      </c>
      <c r="Q113" s="2">
        <v>14</v>
      </c>
      <c r="R113" s="2">
        <v>745.53644846350903</v>
      </c>
      <c r="S113" s="2">
        <v>33.453910999999998</v>
      </c>
      <c r="U113" s="2">
        <v>14</v>
      </c>
      <c r="V113" s="2">
        <v>760.55771392059796</v>
      </c>
      <c r="W113" s="2">
        <v>31.708494999999999</v>
      </c>
    </row>
    <row r="114" spans="1:24" x14ac:dyDescent="0.35">
      <c r="A114" s="2">
        <v>15</v>
      </c>
      <c r="B114" s="2">
        <v>661.55172218371399</v>
      </c>
      <c r="C114" s="2">
        <v>812.57035399999995</v>
      </c>
      <c r="E114" s="2">
        <v>15</v>
      </c>
      <c r="F114" s="2">
        <v>663.26601390021597</v>
      </c>
      <c r="G114" s="2">
        <v>865.18675399999995</v>
      </c>
      <c r="I114" s="2">
        <v>15</v>
      </c>
      <c r="J114" s="2">
        <v>694.75766001381203</v>
      </c>
      <c r="K114" s="2">
        <v>32.895761</v>
      </c>
      <c r="M114" s="2">
        <v>15</v>
      </c>
      <c r="N114" s="2">
        <v>697.46289255077397</v>
      </c>
      <c r="O114" s="2">
        <v>1170.8812829999999</v>
      </c>
      <c r="Q114" s="2">
        <v>15</v>
      </c>
      <c r="R114" s="2">
        <v>805.259771640689</v>
      </c>
      <c r="S114" s="2">
        <v>33.828012999999999</v>
      </c>
      <c r="U114" s="2">
        <v>15</v>
      </c>
      <c r="V114" s="2">
        <v>739.08179374778695</v>
      </c>
      <c r="W114" s="2">
        <v>33.728102999999997</v>
      </c>
    </row>
    <row r="115" spans="1:24" x14ac:dyDescent="0.35">
      <c r="A115" s="2">
        <v>16</v>
      </c>
      <c r="B115" s="2">
        <v>661.80550962080201</v>
      </c>
      <c r="C115" s="2">
        <v>799.90981399999998</v>
      </c>
      <c r="E115" s="2">
        <v>16</v>
      </c>
      <c r="F115" s="2">
        <v>667.16877438409097</v>
      </c>
      <c r="G115" s="2">
        <v>850.47503900000004</v>
      </c>
      <c r="I115" s="2">
        <v>16</v>
      </c>
      <c r="J115" s="2">
        <v>734.78170693263303</v>
      </c>
      <c r="K115" s="2">
        <v>34.069414000000002</v>
      </c>
      <c r="M115" s="2">
        <v>16</v>
      </c>
      <c r="N115" s="2">
        <v>685.06656670191603</v>
      </c>
      <c r="O115" s="2">
        <v>1164.5640129999999</v>
      </c>
      <c r="Q115" s="2">
        <v>16</v>
      </c>
      <c r="R115" s="2">
        <v>730.95782386634505</v>
      </c>
      <c r="S115" s="2">
        <v>33.430656999999997</v>
      </c>
      <c r="U115" s="2">
        <v>16</v>
      </c>
      <c r="V115" s="2">
        <v>775.92462351921995</v>
      </c>
      <c r="W115" s="2">
        <v>33.367229000000002</v>
      </c>
    </row>
    <row r="116" spans="1:24" x14ac:dyDescent="0.35">
      <c r="A116" s="2">
        <v>17</v>
      </c>
      <c r="B116" s="2">
        <v>650.523174622478</v>
      </c>
      <c r="C116" s="2">
        <v>816.07983400000001</v>
      </c>
      <c r="E116" s="2">
        <v>17</v>
      </c>
      <c r="F116" s="2">
        <v>654.03740125854995</v>
      </c>
      <c r="G116" s="2">
        <v>864.10342500000002</v>
      </c>
      <c r="I116" s="2">
        <v>17</v>
      </c>
      <c r="J116" s="2">
        <v>742.76720981101096</v>
      </c>
      <c r="K116" s="2">
        <v>33.970033000000001</v>
      </c>
      <c r="M116" s="2">
        <v>17</v>
      </c>
      <c r="N116" s="2">
        <v>671.47494808956503</v>
      </c>
      <c r="O116" s="2">
        <v>1180.713495</v>
      </c>
      <c r="Q116" s="2">
        <v>17</v>
      </c>
      <c r="R116" s="2">
        <v>825.35033301256396</v>
      </c>
      <c r="S116" s="2">
        <v>33.170184999999996</v>
      </c>
      <c r="U116" s="2">
        <v>17</v>
      </c>
      <c r="V116" s="2">
        <v>729.75667196732695</v>
      </c>
      <c r="W116" s="2">
        <v>33.642043999999999</v>
      </c>
    </row>
    <row r="117" spans="1:24" x14ac:dyDescent="0.35">
      <c r="A117" s="2">
        <v>18</v>
      </c>
      <c r="B117" s="2">
        <v>652.96728580093895</v>
      </c>
      <c r="C117" s="2">
        <v>806.809889</v>
      </c>
      <c r="E117" s="2">
        <v>18</v>
      </c>
      <c r="F117" s="2">
        <v>661.46567283551201</v>
      </c>
      <c r="G117" s="2">
        <v>860.94789300000002</v>
      </c>
      <c r="I117" s="2">
        <v>18</v>
      </c>
      <c r="J117" s="2">
        <v>708.22626299264505</v>
      </c>
      <c r="K117" s="2">
        <v>33.609909999999999</v>
      </c>
      <c r="M117" s="2">
        <v>18</v>
      </c>
      <c r="N117" s="2">
        <v>688.94151379334198</v>
      </c>
      <c r="O117" s="2">
        <v>1182.056801</v>
      </c>
      <c r="Q117" s="2">
        <v>18</v>
      </c>
      <c r="R117" s="2">
        <v>799.16746420084701</v>
      </c>
      <c r="S117" s="2">
        <v>33.216512000000002</v>
      </c>
      <c r="U117" s="2">
        <v>18</v>
      </c>
      <c r="V117" s="2">
        <v>752.96265071273797</v>
      </c>
      <c r="W117" s="2">
        <v>33.630263999999997</v>
      </c>
    </row>
    <row r="118" spans="1:24" x14ac:dyDescent="0.35">
      <c r="A118" s="2">
        <v>19</v>
      </c>
      <c r="B118" s="2">
        <v>658.73729497732302</v>
      </c>
      <c r="C118" s="2">
        <v>797.03981199999998</v>
      </c>
      <c r="E118" s="2">
        <v>19</v>
      </c>
      <c r="F118" s="2">
        <v>662.31590986860101</v>
      </c>
      <c r="G118" s="2">
        <v>863.49637399999995</v>
      </c>
      <c r="I118" s="2">
        <v>19</v>
      </c>
      <c r="J118" s="2">
        <v>725.09920086958596</v>
      </c>
      <c r="K118" s="2">
        <v>33.548743000000002</v>
      </c>
      <c r="M118" s="2">
        <v>19</v>
      </c>
      <c r="N118" s="2">
        <v>697.59347883031398</v>
      </c>
      <c r="O118" s="2">
        <v>1159.102081</v>
      </c>
      <c r="Q118" s="2">
        <v>19</v>
      </c>
      <c r="R118" s="2">
        <v>779.18881260240005</v>
      </c>
      <c r="S118" s="2">
        <v>32.460231999999998</v>
      </c>
      <c r="U118" s="2">
        <v>19</v>
      </c>
      <c r="V118" s="2">
        <v>770.96080517108805</v>
      </c>
      <c r="W118" s="2">
        <v>33.057510000000001</v>
      </c>
    </row>
    <row r="119" spans="1:24" x14ac:dyDescent="0.35">
      <c r="A119" s="2">
        <v>20</v>
      </c>
      <c r="B119" s="2">
        <v>669.96146925252901</v>
      </c>
      <c r="C119" s="2">
        <v>810.67650800000001</v>
      </c>
      <c r="E119" s="2">
        <v>20</v>
      </c>
      <c r="F119" s="2">
        <v>656.91857361580605</v>
      </c>
      <c r="G119" s="2">
        <v>856.74316799999997</v>
      </c>
      <c r="I119" s="2">
        <v>20</v>
      </c>
      <c r="J119" s="2">
        <v>724.72423009518104</v>
      </c>
      <c r="K119" s="2">
        <v>33.739798</v>
      </c>
      <c r="M119" s="2">
        <v>20</v>
      </c>
      <c r="N119" s="2">
        <v>711.172676765456</v>
      </c>
      <c r="O119" s="2">
        <v>1157.156522</v>
      </c>
      <c r="Q119" s="2">
        <v>20</v>
      </c>
      <c r="R119" s="2">
        <v>785.14999264084099</v>
      </c>
      <c r="S119" s="2">
        <v>33.880603999999998</v>
      </c>
      <c r="U119" s="2">
        <v>20</v>
      </c>
      <c r="V119" s="2">
        <v>746.67838438373099</v>
      </c>
      <c r="W119" s="2">
        <v>33.103298000000002</v>
      </c>
    </row>
    <row r="120" spans="1:24" x14ac:dyDescent="0.35">
      <c r="A120" s="2" t="s">
        <v>19</v>
      </c>
      <c r="B120" s="3">
        <f>AVERAGE(B100:B119)</f>
        <v>658.50832832631636</v>
      </c>
      <c r="C120" s="3">
        <f>AVERAGE(C100:C119)</f>
        <v>810.23381695000012</v>
      </c>
      <c r="F120" s="3">
        <f>AVERAGE(F100:F119)</f>
        <v>659.74417748697761</v>
      </c>
      <c r="G120" s="3">
        <f>AVERAGE(G100:G119)</f>
        <v>858.43512920000012</v>
      </c>
      <c r="H120" s="3"/>
      <c r="J120" s="3">
        <f>AVERAGE(J100:J119)</f>
        <v>729.24099930994066</v>
      </c>
      <c r="K120" s="3">
        <f>AVERAGE(K100:K119)</f>
        <v>33.408891599999997</v>
      </c>
      <c r="L120" s="3"/>
      <c r="N120" s="3">
        <f>AVERAGE(N100:N119)</f>
        <v>683.69873336299042</v>
      </c>
      <c r="O120" s="3">
        <f>AVERAGE(O100:O119)</f>
        <v>1170.7470879500002</v>
      </c>
      <c r="P120" s="3"/>
      <c r="R120" s="3">
        <f>AVERAGE(R100:R119)</f>
        <v>777.90547577112216</v>
      </c>
      <c r="S120" s="3">
        <f>AVERAGE(S100:S119)</f>
        <v>33.323130699999993</v>
      </c>
      <c r="T120" s="3"/>
      <c r="V120" s="3">
        <f>AVERAGE(V100:V119)</f>
        <v>756.63004851816936</v>
      </c>
      <c r="W120" s="3">
        <f>AVERAGE(W100:W119)</f>
        <v>33.248711999999998</v>
      </c>
      <c r="X120" s="3"/>
    </row>
    <row r="121" spans="1:24" x14ac:dyDescent="0.35">
      <c r="A121" s="2" t="s">
        <v>36</v>
      </c>
      <c r="B121" s="2" cm="1">
        <f t="array" ref="B121">[1]!SignTest(B100:B119,F100:F119,2)</f>
        <v>0.26317596435546897</v>
      </c>
      <c r="C121" s="2" cm="1">
        <f t="array" ref="C121">[1]!SignTest(C100:C119,G100:G119,2)</f>
        <v>1.9073486328125E-6</v>
      </c>
    </row>
    <row r="122" spans="1:24" ht="21" x14ac:dyDescent="0.5">
      <c r="A122" s="10" t="s">
        <v>5</v>
      </c>
      <c r="B122" s="10"/>
      <c r="C122" s="10"/>
      <c r="E122" s="10" t="s">
        <v>5</v>
      </c>
      <c r="F122" s="10"/>
      <c r="G122" s="10"/>
      <c r="H122" s="1"/>
      <c r="I122" s="10" t="s">
        <v>5</v>
      </c>
      <c r="J122" s="10"/>
      <c r="K122" s="10"/>
      <c r="L122" s="1"/>
      <c r="M122" s="10" t="s">
        <v>5</v>
      </c>
      <c r="N122" s="10"/>
      <c r="O122" s="10"/>
      <c r="P122" s="1"/>
      <c r="Q122" s="10" t="s">
        <v>5</v>
      </c>
      <c r="R122" s="10"/>
      <c r="S122" s="10"/>
      <c r="T122" s="1"/>
      <c r="U122" s="10" t="s">
        <v>5</v>
      </c>
      <c r="V122" s="10"/>
      <c r="W122" s="10"/>
      <c r="X122" s="1"/>
    </row>
    <row r="123" spans="1:24" x14ac:dyDescent="0.35">
      <c r="A123" s="2" t="s">
        <v>15</v>
      </c>
      <c r="B123" s="2" t="s">
        <v>16</v>
      </c>
      <c r="C123" s="2" t="s">
        <v>17</v>
      </c>
      <c r="E123" s="2" t="s">
        <v>15</v>
      </c>
      <c r="F123" s="2" t="s">
        <v>16</v>
      </c>
      <c r="G123" s="2" t="s">
        <v>17</v>
      </c>
      <c r="I123" s="2" t="s">
        <v>15</v>
      </c>
      <c r="J123" s="2" t="s">
        <v>16</v>
      </c>
      <c r="K123" s="2" t="s">
        <v>17</v>
      </c>
      <c r="M123" s="2" t="s">
        <v>15</v>
      </c>
      <c r="N123" s="2" t="s">
        <v>16</v>
      </c>
      <c r="O123" s="2" t="s">
        <v>17</v>
      </c>
      <c r="Q123" s="2" t="s">
        <v>15</v>
      </c>
      <c r="R123" s="2" t="s">
        <v>16</v>
      </c>
      <c r="S123" s="2" t="s">
        <v>17</v>
      </c>
      <c r="U123" s="2" t="s">
        <v>15</v>
      </c>
      <c r="V123" s="2" t="s">
        <v>16</v>
      </c>
      <c r="W123" s="2" t="s">
        <v>17</v>
      </c>
    </row>
    <row r="124" spans="1:24" x14ac:dyDescent="0.35">
      <c r="A124" s="2">
        <v>1</v>
      </c>
      <c r="B124" s="2">
        <v>14382.9959334511</v>
      </c>
      <c r="C124" s="2">
        <v>1023.621083</v>
      </c>
      <c r="E124" s="2">
        <v>1</v>
      </c>
      <c r="F124" s="2">
        <v>14543.8940027392</v>
      </c>
      <c r="G124" s="2">
        <v>1045.712092</v>
      </c>
      <c r="I124" s="2">
        <v>1</v>
      </c>
      <c r="J124" s="2">
        <v>16391.532808796899</v>
      </c>
      <c r="K124" s="2">
        <v>34.030073000000002</v>
      </c>
      <c r="M124" s="2">
        <v>1</v>
      </c>
      <c r="N124" s="2">
        <v>15060.933934164401</v>
      </c>
      <c r="O124" s="2">
        <v>1503.8946189999999</v>
      </c>
      <c r="Q124" s="2">
        <v>1</v>
      </c>
      <c r="R124" s="2">
        <v>16939.441490457699</v>
      </c>
      <c r="S124" s="2">
        <v>35.795803999999997</v>
      </c>
      <c r="U124" s="2">
        <v>1</v>
      </c>
      <c r="V124" s="2">
        <v>16813.360486617301</v>
      </c>
      <c r="W124" s="2">
        <v>34.185685999999997</v>
      </c>
    </row>
    <row r="125" spans="1:24" x14ac:dyDescent="0.35">
      <c r="A125" s="2">
        <v>2</v>
      </c>
      <c r="B125" s="2">
        <v>14510.2422028648</v>
      </c>
      <c r="C125" s="2">
        <v>1029.8622909999999</v>
      </c>
      <c r="E125" s="2">
        <v>2</v>
      </c>
      <c r="F125" s="2">
        <v>14626.7157518863</v>
      </c>
      <c r="G125" s="2">
        <v>1046.264694</v>
      </c>
      <c r="I125" s="2">
        <v>2</v>
      </c>
      <c r="J125" s="2">
        <v>17636.690429095899</v>
      </c>
      <c r="K125" s="2">
        <v>36.390025999999999</v>
      </c>
      <c r="M125" s="2">
        <v>2</v>
      </c>
      <c r="N125" s="2">
        <v>14979.7246169683</v>
      </c>
      <c r="O125" s="2">
        <v>1497.7875759999999</v>
      </c>
      <c r="Q125" s="2">
        <v>2</v>
      </c>
      <c r="R125" s="2">
        <v>16259.6080757242</v>
      </c>
      <c r="S125" s="2">
        <v>36.735999999999997</v>
      </c>
      <c r="U125" s="2">
        <v>2</v>
      </c>
      <c r="V125" s="2">
        <v>15590.5915266174</v>
      </c>
      <c r="W125" s="2">
        <v>35.628965999999998</v>
      </c>
    </row>
    <row r="126" spans="1:24" x14ac:dyDescent="0.35">
      <c r="A126" s="2">
        <v>3</v>
      </c>
      <c r="B126" s="2">
        <v>14476.8750952272</v>
      </c>
      <c r="C126" s="2">
        <v>1037.082435</v>
      </c>
      <c r="E126" s="2">
        <v>3</v>
      </c>
      <c r="F126" s="2">
        <v>14604.717831010999</v>
      </c>
      <c r="G126" s="2">
        <v>1041.523265</v>
      </c>
      <c r="I126" s="2">
        <v>3</v>
      </c>
      <c r="J126" s="2">
        <v>16975.3559425483</v>
      </c>
      <c r="K126" s="2">
        <v>34.888792000000002</v>
      </c>
      <c r="M126" s="2">
        <v>3</v>
      </c>
      <c r="N126" s="2">
        <v>15508.4717237436</v>
      </c>
      <c r="O126" s="2">
        <v>1503.8791550000001</v>
      </c>
      <c r="Q126" s="2">
        <v>3</v>
      </c>
      <c r="R126" s="2">
        <v>17211.840047090402</v>
      </c>
      <c r="S126" s="2">
        <v>35.345033000000001</v>
      </c>
      <c r="U126" s="2">
        <v>3</v>
      </c>
      <c r="V126" s="2">
        <v>16794.232201536801</v>
      </c>
      <c r="W126" s="2">
        <v>35.803272</v>
      </c>
    </row>
    <row r="127" spans="1:24" x14ac:dyDescent="0.35">
      <c r="A127" s="2">
        <v>4</v>
      </c>
      <c r="B127" s="2">
        <v>14452.197355615701</v>
      </c>
      <c r="C127" s="2">
        <v>1036.5344319999999</v>
      </c>
      <c r="E127" s="2">
        <v>4</v>
      </c>
      <c r="F127" s="2">
        <v>14460.228748363699</v>
      </c>
      <c r="G127" s="2">
        <v>1031.389643</v>
      </c>
      <c r="I127" s="2">
        <v>4</v>
      </c>
      <c r="J127" s="2">
        <v>17927.8843606091</v>
      </c>
      <c r="K127" s="2">
        <v>35.593750999999997</v>
      </c>
      <c r="M127" s="2">
        <v>4</v>
      </c>
      <c r="N127" s="2">
        <v>14971.1369923207</v>
      </c>
      <c r="O127" s="2">
        <v>1500.1762409999999</v>
      </c>
      <c r="Q127" s="2">
        <v>4</v>
      </c>
      <c r="R127" s="2">
        <v>17048.379780542698</v>
      </c>
      <c r="S127" s="2">
        <v>35.205271000000003</v>
      </c>
      <c r="U127" s="2">
        <v>4</v>
      </c>
      <c r="V127" s="2">
        <v>17197.410206557899</v>
      </c>
      <c r="W127" s="2">
        <v>33.56176</v>
      </c>
    </row>
    <row r="128" spans="1:24" x14ac:dyDescent="0.35">
      <c r="A128" s="2">
        <v>5</v>
      </c>
      <c r="B128" s="2">
        <v>14516.9354195329</v>
      </c>
      <c r="C128" s="2">
        <v>1038.8536610000001</v>
      </c>
      <c r="E128" s="2">
        <v>5</v>
      </c>
      <c r="F128" s="2">
        <v>14440.909395909999</v>
      </c>
      <c r="G128" s="2">
        <v>1035.7370269999999</v>
      </c>
      <c r="I128" s="2">
        <v>5</v>
      </c>
      <c r="J128" s="2">
        <v>17308.482681587098</v>
      </c>
      <c r="K128" s="2">
        <v>36.387956000000003</v>
      </c>
      <c r="M128" s="2">
        <v>5</v>
      </c>
      <c r="N128" s="2">
        <v>14920.426947624601</v>
      </c>
      <c r="O128" s="2">
        <v>1478.643601</v>
      </c>
      <c r="Q128" s="2">
        <v>5</v>
      </c>
      <c r="R128" s="2">
        <v>17044.902828949798</v>
      </c>
      <c r="S128" s="2">
        <v>34.421855000000001</v>
      </c>
      <c r="U128" s="2">
        <v>5</v>
      </c>
      <c r="V128" s="2">
        <v>17397.919247901398</v>
      </c>
      <c r="W128" s="2">
        <v>35.585662999999997</v>
      </c>
    </row>
    <row r="129" spans="1:24" x14ac:dyDescent="0.35">
      <c r="A129" s="2">
        <v>6</v>
      </c>
      <c r="B129" s="2">
        <v>14594.6246605043</v>
      </c>
      <c r="C129" s="2">
        <v>1044.231262</v>
      </c>
      <c r="E129" s="2">
        <v>6</v>
      </c>
      <c r="F129" s="2">
        <v>14578.981422306901</v>
      </c>
      <c r="G129" s="2">
        <v>1034.4342630000001</v>
      </c>
      <c r="I129" s="2">
        <v>6</v>
      </c>
      <c r="J129" s="2">
        <v>15811.3876870395</v>
      </c>
      <c r="K129" s="2">
        <v>36.094903000000002</v>
      </c>
      <c r="M129" s="2">
        <v>6</v>
      </c>
      <c r="N129" s="2">
        <v>15142.2049424208</v>
      </c>
      <c r="O129" s="2">
        <v>1510.431742</v>
      </c>
      <c r="Q129" s="2">
        <v>6</v>
      </c>
      <c r="R129" s="2">
        <v>17226.835113137899</v>
      </c>
      <c r="S129" s="2">
        <v>34.485087</v>
      </c>
      <c r="U129" s="2">
        <v>6</v>
      </c>
      <c r="V129" s="2">
        <v>17223.200117529199</v>
      </c>
      <c r="W129" s="2">
        <v>34.778388999999997</v>
      </c>
    </row>
    <row r="130" spans="1:24" x14ac:dyDescent="0.35">
      <c r="A130" s="2">
        <v>7</v>
      </c>
      <c r="B130" s="2">
        <v>14721.0330985415</v>
      </c>
      <c r="C130" s="2">
        <v>1025.269278</v>
      </c>
      <c r="E130" s="2">
        <v>7</v>
      </c>
      <c r="F130" s="2">
        <v>14576.034591156</v>
      </c>
      <c r="G130" s="2">
        <v>1037.0743179999999</v>
      </c>
      <c r="I130" s="2">
        <v>7</v>
      </c>
      <c r="J130" s="2">
        <v>17500.4572405084</v>
      </c>
      <c r="K130" s="2">
        <v>34.723604999999999</v>
      </c>
      <c r="M130" s="2">
        <v>7</v>
      </c>
      <c r="N130" s="2">
        <v>15048.591542201701</v>
      </c>
      <c r="O130" s="2">
        <v>1488.13561</v>
      </c>
      <c r="Q130" s="2">
        <v>7</v>
      </c>
      <c r="R130" s="2">
        <v>17044.902828949798</v>
      </c>
      <c r="S130" s="2">
        <v>35.792009999999998</v>
      </c>
      <c r="U130" s="2">
        <v>7</v>
      </c>
      <c r="V130" s="2">
        <v>16385.5671838497</v>
      </c>
      <c r="W130" s="2">
        <v>35.615188000000003</v>
      </c>
    </row>
    <row r="131" spans="1:24" x14ac:dyDescent="0.35">
      <c r="A131" s="2">
        <v>8</v>
      </c>
      <c r="B131" s="2">
        <v>14382.9959334511</v>
      </c>
      <c r="C131" s="2">
        <v>1026.8311040000001</v>
      </c>
      <c r="E131" s="2">
        <v>8</v>
      </c>
      <c r="F131" s="2">
        <v>14416.647733325501</v>
      </c>
      <c r="G131" s="2">
        <v>1040.927369</v>
      </c>
      <c r="I131" s="2">
        <v>8</v>
      </c>
      <c r="J131" s="2">
        <v>16811.396529302299</v>
      </c>
      <c r="K131" s="2">
        <v>37.098751</v>
      </c>
      <c r="M131" s="2">
        <v>8</v>
      </c>
      <c r="N131" s="2">
        <v>14954.078747498999</v>
      </c>
      <c r="O131" s="2">
        <v>1491.5095759999999</v>
      </c>
      <c r="Q131" s="2">
        <v>8</v>
      </c>
      <c r="R131" s="2">
        <v>16957.662746845501</v>
      </c>
      <c r="S131" s="2">
        <v>35.512881</v>
      </c>
      <c r="U131" s="2">
        <v>8</v>
      </c>
      <c r="V131" s="2">
        <v>16835.758464446</v>
      </c>
      <c r="W131" s="2">
        <v>35.443435000000001</v>
      </c>
    </row>
    <row r="132" spans="1:24" x14ac:dyDescent="0.35">
      <c r="A132" s="2">
        <v>9</v>
      </c>
      <c r="B132" s="2">
        <v>14764.3863755818</v>
      </c>
      <c r="C132" s="2">
        <v>1040.4052690000001</v>
      </c>
      <c r="E132" s="2">
        <v>9</v>
      </c>
      <c r="F132" s="2">
        <v>14488.541127554299</v>
      </c>
      <c r="G132" s="2">
        <v>1049.3067129999999</v>
      </c>
      <c r="I132" s="2">
        <v>9</v>
      </c>
      <c r="J132" s="2">
        <v>17660.305276215899</v>
      </c>
      <c r="K132" s="2">
        <v>34.895178000000001</v>
      </c>
      <c r="M132" s="2">
        <v>9</v>
      </c>
      <c r="N132" s="2">
        <v>15142.2049424208</v>
      </c>
      <c r="O132" s="2">
        <v>1497.880304</v>
      </c>
      <c r="Q132" s="2">
        <v>9</v>
      </c>
      <c r="R132" s="2">
        <v>17035.8239771933</v>
      </c>
      <c r="S132" s="2">
        <v>35.540971999999996</v>
      </c>
      <c r="U132" s="2">
        <v>9</v>
      </c>
      <c r="V132" s="2">
        <v>16711.9253561312</v>
      </c>
      <c r="W132" s="2">
        <v>36.387379000000003</v>
      </c>
    </row>
    <row r="133" spans="1:24" x14ac:dyDescent="0.35">
      <c r="A133" s="2">
        <v>10</v>
      </c>
      <c r="B133" s="2">
        <v>14416.647733325501</v>
      </c>
      <c r="C133" s="2">
        <v>1035.8691960000001</v>
      </c>
      <c r="E133" s="2">
        <v>10</v>
      </c>
      <c r="F133" s="2">
        <v>14638.294447336501</v>
      </c>
      <c r="G133" s="2">
        <v>1048.328305</v>
      </c>
      <c r="I133" s="2">
        <v>10</v>
      </c>
      <c r="J133" s="2">
        <v>16776.2529816756</v>
      </c>
      <c r="K133" s="2">
        <v>34.371122</v>
      </c>
      <c r="M133" s="2">
        <v>10</v>
      </c>
      <c r="N133" s="2">
        <v>14971.1369923207</v>
      </c>
      <c r="O133" s="2">
        <v>1481.036595</v>
      </c>
      <c r="Q133" s="2">
        <v>10</v>
      </c>
      <c r="R133" s="2">
        <v>17000.3604897037</v>
      </c>
      <c r="S133" s="2">
        <v>36.615293999999999</v>
      </c>
      <c r="U133" s="2">
        <v>10</v>
      </c>
      <c r="V133" s="2">
        <v>17366.202174934599</v>
      </c>
      <c r="W133" s="2">
        <v>34.656574999999997</v>
      </c>
    </row>
    <row r="134" spans="1:24" x14ac:dyDescent="0.35">
      <c r="A134" s="2">
        <v>11</v>
      </c>
      <c r="B134" s="2">
        <v>15002.8329818603</v>
      </c>
      <c r="C134" s="2">
        <v>1037.378109</v>
      </c>
      <c r="E134" s="2">
        <v>11</v>
      </c>
      <c r="F134" s="2">
        <v>14630.0858165225</v>
      </c>
      <c r="G134" s="2">
        <v>1044.9882990000001</v>
      </c>
      <c r="I134" s="2">
        <v>11</v>
      </c>
      <c r="J134" s="2">
        <v>17640.934199382002</v>
      </c>
      <c r="K134" s="2">
        <v>35.957093</v>
      </c>
      <c r="M134" s="2">
        <v>11</v>
      </c>
      <c r="N134" s="2">
        <v>14954.078747498999</v>
      </c>
      <c r="O134" s="2">
        <v>1499.989063</v>
      </c>
      <c r="Q134" s="2">
        <v>11</v>
      </c>
      <c r="R134" s="2">
        <v>16978.676068195899</v>
      </c>
      <c r="S134" s="2">
        <v>35.769590999999998</v>
      </c>
      <c r="U134" s="2">
        <v>11</v>
      </c>
      <c r="V134" s="2">
        <v>16850.7723751462</v>
      </c>
      <c r="W134" s="2">
        <v>36.204194000000001</v>
      </c>
    </row>
    <row r="135" spans="1:24" x14ac:dyDescent="0.35">
      <c r="A135" s="2">
        <v>12</v>
      </c>
      <c r="B135" s="2">
        <v>14512.2017251861</v>
      </c>
      <c r="C135" s="2">
        <v>1035.012659</v>
      </c>
      <c r="E135" s="2">
        <v>12</v>
      </c>
      <c r="F135" s="2">
        <v>14503.50470078</v>
      </c>
      <c r="G135" s="2">
        <v>1041.728991</v>
      </c>
      <c r="I135" s="2">
        <v>12</v>
      </c>
      <c r="J135" s="2">
        <v>17041.832078010699</v>
      </c>
      <c r="K135" s="2">
        <v>36.312418999999998</v>
      </c>
      <c r="M135" s="2">
        <v>12</v>
      </c>
      <c r="N135" s="2">
        <v>14954.078747498999</v>
      </c>
      <c r="O135" s="2">
        <v>1499.630936</v>
      </c>
      <c r="Q135" s="2">
        <v>12</v>
      </c>
      <c r="R135" s="2">
        <v>16939.441490457699</v>
      </c>
      <c r="S135" s="2">
        <v>35.463509000000002</v>
      </c>
      <c r="U135" s="2">
        <v>12</v>
      </c>
      <c r="V135" s="2">
        <v>16193.153997261201</v>
      </c>
      <c r="W135" s="2">
        <v>35.759199000000002</v>
      </c>
    </row>
    <row r="136" spans="1:24" x14ac:dyDescent="0.35">
      <c r="A136" s="2">
        <v>13</v>
      </c>
      <c r="B136" s="2">
        <v>14495.584584365</v>
      </c>
      <c r="C136" s="2">
        <v>1034.3067759999999</v>
      </c>
      <c r="E136" s="2">
        <v>13</v>
      </c>
      <c r="F136" s="2">
        <v>14581.168625444399</v>
      </c>
      <c r="G136" s="2">
        <v>1047.950429</v>
      </c>
      <c r="I136" s="2">
        <v>13</v>
      </c>
      <c r="J136" s="2">
        <v>16733.229646537799</v>
      </c>
      <c r="K136" s="2">
        <v>35.368687999999999</v>
      </c>
      <c r="M136" s="2">
        <v>13</v>
      </c>
      <c r="N136" s="2">
        <v>14750.0656665276</v>
      </c>
      <c r="O136" s="2">
        <v>1490.974469</v>
      </c>
      <c r="Q136" s="2">
        <v>13</v>
      </c>
      <c r="R136" s="2">
        <v>17044.902828949798</v>
      </c>
      <c r="S136" s="2">
        <v>34.980283999999997</v>
      </c>
      <c r="U136" s="2">
        <v>13</v>
      </c>
      <c r="V136" s="2">
        <v>16401.605649405301</v>
      </c>
      <c r="W136" s="2">
        <v>35.225388000000002</v>
      </c>
    </row>
    <row r="137" spans="1:24" x14ac:dyDescent="0.35">
      <c r="A137" s="2">
        <v>14</v>
      </c>
      <c r="B137" s="2">
        <v>14579.940961116199</v>
      </c>
      <c r="C137" s="2">
        <v>1040.0725420000001</v>
      </c>
      <c r="E137" s="2">
        <v>14</v>
      </c>
      <c r="F137" s="2">
        <v>14382.9959334511</v>
      </c>
      <c r="G137" s="2">
        <v>1046.8004920000001</v>
      </c>
      <c r="I137" s="2">
        <v>14</v>
      </c>
      <c r="J137" s="2">
        <v>16554.076693836501</v>
      </c>
      <c r="K137" s="2">
        <v>34.038561999999999</v>
      </c>
      <c r="M137" s="2">
        <v>14</v>
      </c>
      <c r="N137" s="2">
        <v>14971.1369923207</v>
      </c>
      <c r="O137" s="2">
        <v>1499.158782</v>
      </c>
      <c r="Q137" s="2">
        <v>14</v>
      </c>
      <c r="R137" s="2">
        <v>17198.390829929202</v>
      </c>
      <c r="S137" s="2">
        <v>34.668349999999997</v>
      </c>
      <c r="U137" s="2">
        <v>14</v>
      </c>
      <c r="V137" s="2">
        <v>16718.817794507198</v>
      </c>
      <c r="W137" s="2">
        <v>35.077359000000001</v>
      </c>
    </row>
    <row r="138" spans="1:24" x14ac:dyDescent="0.35">
      <c r="A138" s="2">
        <v>15</v>
      </c>
      <c r="B138" s="2">
        <v>14691.988108261499</v>
      </c>
      <c r="C138" s="2">
        <v>1036.3093100000001</v>
      </c>
      <c r="E138" s="2">
        <v>15</v>
      </c>
      <c r="F138" s="2">
        <v>14460.228748363699</v>
      </c>
      <c r="G138" s="2">
        <v>1049.835268</v>
      </c>
      <c r="I138" s="2">
        <v>15</v>
      </c>
      <c r="J138" s="2">
        <v>16888.032093184102</v>
      </c>
      <c r="K138" s="2">
        <v>35.416392000000002</v>
      </c>
      <c r="M138" s="2">
        <v>15</v>
      </c>
      <c r="N138" s="2">
        <v>15145.054526354899</v>
      </c>
      <c r="O138" s="2">
        <v>1479.8357719999999</v>
      </c>
      <c r="Q138" s="2">
        <v>15</v>
      </c>
      <c r="R138" s="2">
        <v>17000.3604897037</v>
      </c>
      <c r="S138" s="2">
        <v>34.574818</v>
      </c>
      <c r="U138" s="2">
        <v>15</v>
      </c>
      <c r="V138" s="2">
        <v>17397.328656488899</v>
      </c>
      <c r="W138" s="2">
        <v>35.782744000000001</v>
      </c>
    </row>
    <row r="139" spans="1:24" x14ac:dyDescent="0.35">
      <c r="A139" s="2">
        <v>16</v>
      </c>
      <c r="B139" s="2">
        <v>14420.101036567899</v>
      </c>
      <c r="C139" s="2">
        <v>1043.7525880000001</v>
      </c>
      <c r="E139" s="2">
        <v>16</v>
      </c>
      <c r="F139" s="2">
        <v>14585.494279955899</v>
      </c>
      <c r="G139" s="2">
        <v>1028.4195199999999</v>
      </c>
      <c r="I139" s="2">
        <v>16</v>
      </c>
      <c r="J139" s="2">
        <v>17196.696917581801</v>
      </c>
      <c r="K139" s="2">
        <v>35.963141</v>
      </c>
      <c r="M139" s="2">
        <v>16</v>
      </c>
      <c r="N139" s="2">
        <v>15142.2049424208</v>
      </c>
      <c r="O139" s="2">
        <v>1512.2232650000001</v>
      </c>
      <c r="Q139" s="2">
        <v>16</v>
      </c>
      <c r="R139" s="2">
        <v>17101.664400725302</v>
      </c>
      <c r="S139" s="2">
        <v>33.853152000000001</v>
      </c>
      <c r="U139" s="2">
        <v>16</v>
      </c>
      <c r="V139" s="2">
        <v>16842.1256590423</v>
      </c>
      <c r="W139" s="2">
        <v>36.326031999999998</v>
      </c>
    </row>
    <row r="140" spans="1:24" x14ac:dyDescent="0.35">
      <c r="A140" s="2">
        <v>17</v>
      </c>
      <c r="B140" s="2">
        <v>14673.0991481736</v>
      </c>
      <c r="C140" s="2">
        <v>1040.1825490000001</v>
      </c>
      <c r="E140" s="2">
        <v>17</v>
      </c>
      <c r="F140" s="2">
        <v>14815.0964202779</v>
      </c>
      <c r="G140" s="2">
        <v>1043.129054</v>
      </c>
      <c r="I140" s="2">
        <v>17</v>
      </c>
      <c r="J140" s="2">
        <v>16420.111081855401</v>
      </c>
      <c r="K140" s="2">
        <v>35.439793000000002</v>
      </c>
      <c r="M140" s="2">
        <v>17</v>
      </c>
      <c r="N140" s="2">
        <v>15032.6228477493</v>
      </c>
      <c r="O140" s="2">
        <v>1501.8939820000001</v>
      </c>
      <c r="Q140" s="2">
        <v>17</v>
      </c>
      <c r="R140" s="2">
        <v>17829.172514985901</v>
      </c>
      <c r="S140" s="2">
        <v>36.991253</v>
      </c>
      <c r="U140" s="2">
        <v>17</v>
      </c>
      <c r="V140" s="2">
        <v>16261.4037658742</v>
      </c>
      <c r="W140" s="2">
        <v>36.267049999999998</v>
      </c>
    </row>
    <row r="141" spans="1:24" x14ac:dyDescent="0.35">
      <c r="A141" s="2">
        <v>18</v>
      </c>
      <c r="B141" s="2">
        <v>14645.683180104001</v>
      </c>
      <c r="C141" s="2">
        <v>1045.589338</v>
      </c>
      <c r="E141" s="2">
        <v>18</v>
      </c>
      <c r="F141" s="2">
        <v>14827.1759178537</v>
      </c>
      <c r="G141" s="2">
        <v>1040.8177000000001</v>
      </c>
      <c r="I141" s="2">
        <v>18</v>
      </c>
      <c r="J141" s="2">
        <v>16871.263085749299</v>
      </c>
      <c r="K141" s="2">
        <v>36.090178000000002</v>
      </c>
      <c r="M141" s="2">
        <v>18</v>
      </c>
      <c r="N141" s="2">
        <v>15032.6228477493</v>
      </c>
      <c r="O141" s="2">
        <v>1489.9200269999999</v>
      </c>
      <c r="Q141" s="2">
        <v>18</v>
      </c>
      <c r="R141" s="2">
        <v>16313.599715958801</v>
      </c>
      <c r="S141" s="2">
        <v>34.696412000000002</v>
      </c>
      <c r="U141" s="2">
        <v>18</v>
      </c>
      <c r="V141" s="2">
        <v>17446.885015940301</v>
      </c>
      <c r="W141" s="2">
        <v>36.723756999999999</v>
      </c>
    </row>
    <row r="142" spans="1:24" x14ac:dyDescent="0.35">
      <c r="A142" s="2">
        <v>19</v>
      </c>
      <c r="B142" s="2">
        <v>14485.5283510017</v>
      </c>
      <c r="C142" s="2">
        <v>1036.5751419999999</v>
      </c>
      <c r="E142" s="2">
        <v>19</v>
      </c>
      <c r="F142" s="2">
        <v>14717.1010586385</v>
      </c>
      <c r="G142" s="2">
        <v>1041.4044710000001</v>
      </c>
      <c r="I142" s="2">
        <v>19</v>
      </c>
      <c r="J142" s="2">
        <v>17430.856870473901</v>
      </c>
      <c r="K142" s="2">
        <v>35.855277999999998</v>
      </c>
      <c r="M142" s="2">
        <v>19</v>
      </c>
      <c r="N142" s="2">
        <v>15210.097946109099</v>
      </c>
      <c r="O142" s="2">
        <v>1494.80188</v>
      </c>
      <c r="Q142" s="2">
        <v>19</v>
      </c>
      <c r="R142" s="2">
        <v>16600.657000154599</v>
      </c>
      <c r="S142" s="2">
        <v>36.840772000000001</v>
      </c>
      <c r="U142" s="2">
        <v>19</v>
      </c>
      <c r="V142" s="2">
        <v>16265.407387937399</v>
      </c>
      <c r="W142" s="2">
        <v>36.507528000000001</v>
      </c>
    </row>
    <row r="143" spans="1:24" x14ac:dyDescent="0.35">
      <c r="A143" s="2">
        <v>20</v>
      </c>
      <c r="B143" s="2">
        <v>14460.228748363699</v>
      </c>
      <c r="C143" s="2">
        <v>1043.4970330000001</v>
      </c>
      <c r="E143" s="2">
        <v>20</v>
      </c>
      <c r="F143" s="2">
        <v>14873.1539871431</v>
      </c>
      <c r="G143" s="2">
        <v>1048.9514509999999</v>
      </c>
      <c r="I143" s="2">
        <v>20</v>
      </c>
      <c r="J143" s="2">
        <v>15675.4069478766</v>
      </c>
      <c r="K143" s="2">
        <v>35.892516000000001</v>
      </c>
      <c r="M143" s="2">
        <v>20</v>
      </c>
      <c r="N143" s="2">
        <v>15145.054526354899</v>
      </c>
      <c r="O143" s="2">
        <v>1503.8963409999999</v>
      </c>
      <c r="Q143" s="2">
        <v>20</v>
      </c>
      <c r="R143" s="2">
        <v>17000.3604897037</v>
      </c>
      <c r="S143" s="2">
        <v>36.023395000000001</v>
      </c>
      <c r="U143" s="2">
        <v>20</v>
      </c>
      <c r="V143" s="2">
        <v>15855.934243739101</v>
      </c>
      <c r="W143" s="2">
        <v>36.614021999999999</v>
      </c>
    </row>
    <row r="144" spans="1:24" x14ac:dyDescent="0.35">
      <c r="A144" s="2" t="s">
        <v>19</v>
      </c>
      <c r="B144" s="3">
        <f>AVERAGE(B124:B143)</f>
        <v>14559.306131654794</v>
      </c>
      <c r="C144" s="3">
        <f>AVERAGE(C124:C143)</f>
        <v>1036.5618028500003</v>
      </c>
      <c r="F144" s="3">
        <f>AVERAGE(F124:F143)</f>
        <v>14587.548527001007</v>
      </c>
      <c r="G144" s="3">
        <f>AVERAGE(G124:G143)</f>
        <v>1042.2361682000003</v>
      </c>
      <c r="H144" s="3"/>
      <c r="J144" s="3">
        <f>AVERAGE(J124:J143)</f>
        <v>16962.609277593354</v>
      </c>
      <c r="K144" s="3">
        <f>AVERAGE(K124:K143)</f>
        <v>35.540410850000001</v>
      </c>
      <c r="L144" s="3"/>
      <c r="N144" s="3">
        <f>AVERAGE(N124:N143)</f>
        <v>15051.796458613459</v>
      </c>
      <c r="O144" s="3">
        <f>AVERAGE(O124:O143)</f>
        <v>1496.2849768000001</v>
      </c>
      <c r="P144" s="3"/>
      <c r="R144" s="3">
        <f>AVERAGE(R124:R143)</f>
        <v>16988.849160367979</v>
      </c>
      <c r="S144" s="3">
        <f>AVERAGE(S124:S143)</f>
        <v>35.465587150000005</v>
      </c>
      <c r="T144" s="3"/>
      <c r="V144" s="3">
        <f>AVERAGE(V124:V143)</f>
        <v>16727.480075573181</v>
      </c>
      <c r="W144" s="3">
        <f>AVERAGE(W124:W143)</f>
        <v>35.606679299999996</v>
      </c>
      <c r="X144" s="3"/>
    </row>
    <row r="145" spans="1:24" x14ac:dyDescent="0.35">
      <c r="A145" s="2" t="s">
        <v>36</v>
      </c>
      <c r="B145" s="2" cm="1">
        <f t="array" ref="B145">[1]!SignTest(B124:B143,F124:F143,2)</f>
        <v>0.50344467163085949</v>
      </c>
      <c r="C145" s="2" cm="1">
        <f t="array" ref="C145">[1]!SignTest(C124:C143,G124:G143,2)</f>
        <v>4.1389465332031271E-2</v>
      </c>
    </row>
    <row r="146" spans="1:24" ht="21" x14ac:dyDescent="0.5">
      <c r="A146" s="10" t="s">
        <v>6</v>
      </c>
      <c r="B146" s="10"/>
      <c r="C146" s="10"/>
      <c r="E146" s="10" t="s">
        <v>6</v>
      </c>
      <c r="F146" s="10"/>
      <c r="G146" s="10"/>
      <c r="H146" s="1"/>
      <c r="I146" s="10" t="s">
        <v>6</v>
      </c>
      <c r="J146" s="10"/>
      <c r="K146" s="10"/>
      <c r="L146" s="1"/>
      <c r="M146" s="10" t="s">
        <v>6</v>
      </c>
      <c r="N146" s="10"/>
      <c r="O146" s="10"/>
      <c r="P146" s="1"/>
      <c r="Q146" s="10" t="s">
        <v>6</v>
      </c>
      <c r="R146" s="10"/>
      <c r="S146" s="10"/>
      <c r="T146" s="1"/>
      <c r="U146" s="10" t="s">
        <v>6</v>
      </c>
      <c r="V146" s="10"/>
      <c r="W146" s="10"/>
      <c r="X146" s="1"/>
    </row>
    <row r="147" spans="1:24" x14ac:dyDescent="0.35">
      <c r="A147" s="2" t="s">
        <v>15</v>
      </c>
      <c r="B147" s="2" t="s">
        <v>16</v>
      </c>
      <c r="C147" s="2" t="s">
        <v>17</v>
      </c>
      <c r="E147" s="2" t="s">
        <v>15</v>
      </c>
      <c r="F147" s="2" t="s">
        <v>16</v>
      </c>
      <c r="G147" s="2" t="s">
        <v>17</v>
      </c>
      <c r="I147" s="2" t="s">
        <v>15</v>
      </c>
      <c r="J147" s="2" t="s">
        <v>16</v>
      </c>
      <c r="K147" s="2" t="s">
        <v>17</v>
      </c>
      <c r="M147" s="2" t="s">
        <v>15</v>
      </c>
      <c r="N147" s="2" t="s">
        <v>16</v>
      </c>
      <c r="O147" s="2" t="s">
        <v>17</v>
      </c>
      <c r="Q147" s="2" t="s">
        <v>15</v>
      </c>
      <c r="R147" s="2" t="s">
        <v>16</v>
      </c>
      <c r="S147" s="2" t="s">
        <v>17</v>
      </c>
      <c r="U147" s="2" t="s">
        <v>15</v>
      </c>
      <c r="V147" s="2" t="s">
        <v>16</v>
      </c>
      <c r="W147" s="2" t="s">
        <v>17</v>
      </c>
    </row>
    <row r="148" spans="1:24" x14ac:dyDescent="0.35">
      <c r="A148" s="2">
        <v>1</v>
      </c>
      <c r="B148" s="2">
        <v>46052.1619531217</v>
      </c>
      <c r="C148" s="2">
        <v>1154.479495</v>
      </c>
      <c r="E148" s="2">
        <v>1</v>
      </c>
      <c r="F148" s="2">
        <v>45281.938665127498</v>
      </c>
      <c r="G148" s="2">
        <v>1161.5296060000001</v>
      </c>
      <c r="I148" s="2">
        <v>1</v>
      </c>
      <c r="J148" s="2">
        <v>49744.993472033602</v>
      </c>
      <c r="K148" s="2">
        <v>36.678497999999998</v>
      </c>
      <c r="M148" s="2">
        <v>1</v>
      </c>
      <c r="N148" s="2">
        <v>44950.110502032898</v>
      </c>
      <c r="O148" s="2">
        <v>1634.018018</v>
      </c>
      <c r="Q148" s="2">
        <v>1</v>
      </c>
      <c r="R148" s="2">
        <v>46469.538954120602</v>
      </c>
      <c r="S148" s="2">
        <v>37.463821000000003</v>
      </c>
      <c r="U148" s="2">
        <v>1</v>
      </c>
      <c r="V148" s="2">
        <v>49359.857866618397</v>
      </c>
      <c r="W148" s="2">
        <v>37.537415000000003</v>
      </c>
    </row>
    <row r="149" spans="1:24" x14ac:dyDescent="0.35">
      <c r="A149" s="2">
        <v>2</v>
      </c>
      <c r="B149" s="2">
        <v>44390.294490124703</v>
      </c>
      <c r="C149" s="2">
        <v>1143.986073</v>
      </c>
      <c r="E149" s="2">
        <v>2</v>
      </c>
      <c r="F149" s="2">
        <v>44571.294709813803</v>
      </c>
      <c r="G149" s="2">
        <v>1158.2930269999999</v>
      </c>
      <c r="I149" s="2">
        <v>2</v>
      </c>
      <c r="J149" s="2">
        <v>50636.633450966197</v>
      </c>
      <c r="K149" s="2">
        <v>37.920954000000002</v>
      </c>
      <c r="M149" s="2">
        <v>2</v>
      </c>
      <c r="N149" s="2">
        <v>44838.253468905597</v>
      </c>
      <c r="O149" s="2">
        <v>1621.4991689999999</v>
      </c>
      <c r="Q149" s="2">
        <v>2</v>
      </c>
      <c r="R149" s="2">
        <v>47464.788517259003</v>
      </c>
      <c r="S149" s="2">
        <v>37.084811000000002</v>
      </c>
      <c r="U149" s="2">
        <v>2</v>
      </c>
      <c r="V149" s="2">
        <v>49271.827779270498</v>
      </c>
      <c r="W149" s="2">
        <v>37.203184</v>
      </c>
    </row>
    <row r="150" spans="1:24" x14ac:dyDescent="0.35">
      <c r="A150" s="2">
        <v>3</v>
      </c>
      <c r="B150" s="2">
        <v>45636.514545318903</v>
      </c>
      <c r="C150" s="2">
        <v>1157.5245500000001</v>
      </c>
      <c r="E150" s="2">
        <v>3</v>
      </c>
      <c r="F150" s="2">
        <v>44673.306230042501</v>
      </c>
      <c r="G150" s="2">
        <v>1162.1503290000001</v>
      </c>
      <c r="I150" s="2">
        <v>3</v>
      </c>
      <c r="J150" s="2">
        <v>48088.979064400497</v>
      </c>
      <c r="K150" s="2">
        <v>36.639316000000001</v>
      </c>
      <c r="M150" s="2">
        <v>3</v>
      </c>
      <c r="N150" s="2">
        <v>45283.592862049998</v>
      </c>
      <c r="O150" s="2">
        <v>1617.210896</v>
      </c>
      <c r="Q150" s="2">
        <v>3</v>
      </c>
      <c r="R150" s="2">
        <v>47661.577178376399</v>
      </c>
      <c r="S150" s="2">
        <v>36.983997000000002</v>
      </c>
      <c r="U150" s="2">
        <v>3</v>
      </c>
      <c r="V150" s="2">
        <v>49181.026953638997</v>
      </c>
      <c r="W150" s="2">
        <v>37.830933000000002</v>
      </c>
    </row>
    <row r="151" spans="1:24" x14ac:dyDescent="0.35">
      <c r="A151" s="2">
        <v>4</v>
      </c>
      <c r="B151" s="2">
        <v>45244.493557431597</v>
      </c>
      <c r="C151" s="2">
        <v>1161.705187</v>
      </c>
      <c r="E151" s="2">
        <v>4</v>
      </c>
      <c r="F151" s="2">
        <v>45365.246704905498</v>
      </c>
      <c r="G151" s="2">
        <v>1152.966743</v>
      </c>
      <c r="I151" s="2">
        <v>4</v>
      </c>
      <c r="J151" s="2">
        <v>50042.408262713798</v>
      </c>
      <c r="K151" s="2">
        <v>37.153942999999998</v>
      </c>
      <c r="M151" s="2">
        <v>4</v>
      </c>
      <c r="N151" s="2">
        <v>45064.532792869199</v>
      </c>
      <c r="O151" s="2">
        <v>1622.6466929999999</v>
      </c>
      <c r="Q151" s="2">
        <v>4</v>
      </c>
      <c r="R151" s="2">
        <v>47926.689631660302</v>
      </c>
      <c r="S151" s="2">
        <v>37.025494000000002</v>
      </c>
      <c r="U151" s="2">
        <v>4</v>
      </c>
      <c r="V151" s="2">
        <v>50875.500887630798</v>
      </c>
      <c r="W151" s="2">
        <v>36.111044999999997</v>
      </c>
    </row>
    <row r="152" spans="1:24" x14ac:dyDescent="0.35">
      <c r="A152" s="2">
        <v>5</v>
      </c>
      <c r="B152" s="2">
        <v>44516.846700137503</v>
      </c>
      <c r="C152" s="2">
        <v>1156.4347769999999</v>
      </c>
      <c r="E152" s="2">
        <v>5</v>
      </c>
      <c r="F152" s="2">
        <v>45663.872905504897</v>
      </c>
      <c r="G152" s="2">
        <v>1163.319853</v>
      </c>
      <c r="I152" s="2">
        <v>5</v>
      </c>
      <c r="J152" s="2">
        <v>51150.835678619798</v>
      </c>
      <c r="K152" s="2">
        <v>36.870807999999997</v>
      </c>
      <c r="M152" s="2">
        <v>5</v>
      </c>
      <c r="N152" s="2">
        <v>45298.847367919901</v>
      </c>
      <c r="O152" s="2">
        <v>1626.173045</v>
      </c>
      <c r="Q152" s="2">
        <v>5</v>
      </c>
      <c r="R152" s="2">
        <v>46957.659937109704</v>
      </c>
      <c r="S152" s="2">
        <v>35.119320999999999</v>
      </c>
      <c r="U152" s="2">
        <v>5</v>
      </c>
      <c r="V152" s="2">
        <v>51660.424995505302</v>
      </c>
      <c r="W152" s="2">
        <v>38.274273000000001</v>
      </c>
    </row>
    <row r="153" spans="1:24" x14ac:dyDescent="0.35">
      <c r="A153" s="2">
        <v>6</v>
      </c>
      <c r="B153" s="2">
        <v>45093.532583007996</v>
      </c>
      <c r="C153" s="2">
        <v>1152.94659</v>
      </c>
      <c r="E153" s="2">
        <v>6</v>
      </c>
      <c r="F153" s="2">
        <v>44897.938964425797</v>
      </c>
      <c r="G153" s="2">
        <v>1147.3293289999999</v>
      </c>
      <c r="I153" s="2">
        <v>6</v>
      </c>
      <c r="J153" s="2">
        <v>50314.688012898398</v>
      </c>
      <c r="K153" s="2">
        <v>36.742494999999998</v>
      </c>
      <c r="M153" s="2">
        <v>6</v>
      </c>
      <c r="N153" s="2">
        <v>44758.325997011503</v>
      </c>
      <c r="O153" s="2">
        <v>1626.613832</v>
      </c>
      <c r="Q153" s="2">
        <v>6</v>
      </c>
      <c r="R153" s="2">
        <v>46872.059128572597</v>
      </c>
      <c r="S153" s="2">
        <v>37.411206</v>
      </c>
      <c r="U153" s="2">
        <v>6</v>
      </c>
      <c r="V153" s="2">
        <v>49012.358897275801</v>
      </c>
      <c r="W153" s="2">
        <v>36.939101000000001</v>
      </c>
    </row>
    <row r="154" spans="1:24" x14ac:dyDescent="0.35">
      <c r="A154" s="2">
        <v>7</v>
      </c>
      <c r="B154" s="2">
        <v>45092.597374048702</v>
      </c>
      <c r="C154" s="2">
        <v>1146.821907</v>
      </c>
      <c r="E154" s="2">
        <v>7</v>
      </c>
      <c r="F154" s="2">
        <v>45603.2350796764</v>
      </c>
      <c r="G154" s="2">
        <v>1152.4121640000001</v>
      </c>
      <c r="I154" s="2">
        <v>7</v>
      </c>
      <c r="J154" s="2">
        <v>48642.772118274901</v>
      </c>
      <c r="K154" s="2">
        <v>37.297876000000002</v>
      </c>
      <c r="M154" s="2">
        <v>7</v>
      </c>
      <c r="N154" s="2">
        <v>45233.6951863008</v>
      </c>
      <c r="O154" s="2">
        <v>1627.229351</v>
      </c>
      <c r="Q154" s="2">
        <v>7</v>
      </c>
      <c r="R154" s="2">
        <v>48310.172496631298</v>
      </c>
      <c r="S154" s="2">
        <v>37.866698</v>
      </c>
      <c r="U154" s="2">
        <v>7</v>
      </c>
      <c r="V154" s="2">
        <v>50850.974798621901</v>
      </c>
      <c r="W154" s="2">
        <v>36.992066999999999</v>
      </c>
    </row>
    <row r="155" spans="1:24" x14ac:dyDescent="0.35">
      <c r="A155" s="2">
        <v>8</v>
      </c>
      <c r="B155" s="2">
        <v>45240.942173334603</v>
      </c>
      <c r="C155" s="2">
        <v>1158.840025</v>
      </c>
      <c r="E155" s="2">
        <v>8</v>
      </c>
      <c r="F155" s="2">
        <v>44735.0286249282</v>
      </c>
      <c r="G155" s="2">
        <v>1159.389465</v>
      </c>
      <c r="I155" s="2">
        <v>8</v>
      </c>
      <c r="J155" s="2">
        <v>49464.309869863297</v>
      </c>
      <c r="K155" s="2">
        <v>35.440190000000001</v>
      </c>
      <c r="M155" s="2">
        <v>8</v>
      </c>
      <c r="N155" s="2">
        <v>44781.690080394503</v>
      </c>
      <c r="O155" s="2">
        <v>1623.968926</v>
      </c>
      <c r="Q155" s="2">
        <v>8</v>
      </c>
      <c r="R155" s="2">
        <v>47352.792519627197</v>
      </c>
      <c r="S155" s="2">
        <v>36.816983999999998</v>
      </c>
      <c r="U155" s="2">
        <v>8</v>
      </c>
      <c r="V155" s="2">
        <v>49150.897426445998</v>
      </c>
      <c r="W155" s="2">
        <v>35.503594</v>
      </c>
    </row>
    <row r="156" spans="1:24" x14ac:dyDescent="0.35">
      <c r="A156" s="2">
        <v>9</v>
      </c>
      <c r="B156" s="2">
        <v>44725.191641151599</v>
      </c>
      <c r="C156" s="2">
        <v>1156.6506899999999</v>
      </c>
      <c r="E156" s="2">
        <v>9</v>
      </c>
      <c r="F156" s="2">
        <v>44927.745055249703</v>
      </c>
      <c r="G156" s="2">
        <v>1160.491845</v>
      </c>
      <c r="I156" s="2">
        <v>9</v>
      </c>
      <c r="J156" s="2">
        <v>49581.451398101599</v>
      </c>
      <c r="K156" s="2">
        <v>37.486593999999997</v>
      </c>
      <c r="M156" s="2">
        <v>9</v>
      </c>
      <c r="N156" s="2">
        <v>45376.400686143897</v>
      </c>
      <c r="O156" s="2">
        <v>1635.8024989999999</v>
      </c>
      <c r="Q156" s="2">
        <v>9</v>
      </c>
      <c r="R156" s="2">
        <v>46872.059128572597</v>
      </c>
      <c r="S156" s="2">
        <v>37.683118</v>
      </c>
      <c r="U156" s="2">
        <v>9</v>
      </c>
      <c r="V156" s="2">
        <v>51527.009176011197</v>
      </c>
      <c r="W156" s="2">
        <v>36.546847</v>
      </c>
    </row>
    <row r="157" spans="1:24" x14ac:dyDescent="0.35">
      <c r="A157" s="2">
        <v>10</v>
      </c>
      <c r="B157" s="2">
        <v>44899.056976359003</v>
      </c>
      <c r="C157" s="2">
        <v>1133.075726</v>
      </c>
      <c r="E157" s="2">
        <v>10</v>
      </c>
      <c r="F157" s="2">
        <v>45708.315029311801</v>
      </c>
      <c r="G157" s="2">
        <v>1158.177664</v>
      </c>
      <c r="I157" s="2">
        <v>10</v>
      </c>
      <c r="J157" s="2">
        <v>50364.449814361396</v>
      </c>
      <c r="K157" s="2">
        <v>37.682116999999998</v>
      </c>
      <c r="M157" s="2">
        <v>10</v>
      </c>
      <c r="N157" s="2">
        <v>44758.325997011503</v>
      </c>
      <c r="O157" s="2">
        <v>1615.8658150000001</v>
      </c>
      <c r="Q157" s="2">
        <v>10</v>
      </c>
      <c r="R157" s="2">
        <v>47033.087874715202</v>
      </c>
      <c r="S157" s="2">
        <v>37.161833000000001</v>
      </c>
      <c r="U157" s="2">
        <v>10</v>
      </c>
      <c r="V157" s="2">
        <v>50040.928603272499</v>
      </c>
      <c r="W157" s="2">
        <v>35.184775999999999</v>
      </c>
    </row>
    <row r="158" spans="1:24" x14ac:dyDescent="0.35">
      <c r="A158" s="2">
        <v>11</v>
      </c>
      <c r="B158" s="2">
        <v>45514.316324310901</v>
      </c>
      <c r="C158" s="2">
        <v>1152.2966710000001</v>
      </c>
      <c r="E158" s="2">
        <v>11</v>
      </c>
      <c r="F158" s="2">
        <v>45004.268421139197</v>
      </c>
      <c r="G158" s="2">
        <v>1159.735545</v>
      </c>
      <c r="I158" s="2">
        <v>11</v>
      </c>
      <c r="J158" s="2">
        <v>48862.331333832903</v>
      </c>
      <c r="K158" s="2">
        <v>36.198649000000003</v>
      </c>
      <c r="M158" s="2">
        <v>11</v>
      </c>
      <c r="N158" s="2">
        <v>44843.926805548603</v>
      </c>
      <c r="O158" s="2">
        <v>1631.7682030000001</v>
      </c>
      <c r="Q158" s="2">
        <v>11</v>
      </c>
      <c r="R158" s="2">
        <v>47464.788517259003</v>
      </c>
      <c r="S158" s="2">
        <v>36.401504000000003</v>
      </c>
      <c r="U158" s="2">
        <v>11</v>
      </c>
      <c r="V158" s="2">
        <v>49799.617642937599</v>
      </c>
      <c r="W158" s="2">
        <v>37.094769999999997</v>
      </c>
    </row>
    <row r="159" spans="1:24" x14ac:dyDescent="0.35">
      <c r="A159" s="2">
        <v>12</v>
      </c>
      <c r="B159" s="2">
        <v>45955.705966075897</v>
      </c>
      <c r="C159" s="2">
        <v>1149.2672520000001</v>
      </c>
      <c r="E159" s="2">
        <v>12</v>
      </c>
      <c r="F159" s="2">
        <v>44851.229642643098</v>
      </c>
      <c r="G159" s="2">
        <v>1158.2854890000001</v>
      </c>
      <c r="I159" s="2">
        <v>12</v>
      </c>
      <c r="J159" s="2">
        <v>50767.077794254197</v>
      </c>
      <c r="K159" s="2">
        <v>37.201251999999997</v>
      </c>
      <c r="M159" s="2">
        <v>12</v>
      </c>
      <c r="N159" s="2">
        <v>45540.508123624502</v>
      </c>
      <c r="O159" s="2">
        <v>1632.3917240000001</v>
      </c>
      <c r="Q159" s="2">
        <v>12</v>
      </c>
      <c r="R159" s="2">
        <v>47033.087874715202</v>
      </c>
      <c r="S159" s="2">
        <v>35.502462000000001</v>
      </c>
      <c r="U159" s="2">
        <v>12</v>
      </c>
      <c r="V159" s="2">
        <v>50057.674951141598</v>
      </c>
      <c r="W159" s="2">
        <v>38.321601999999999</v>
      </c>
    </row>
    <row r="160" spans="1:24" x14ac:dyDescent="0.35">
      <c r="A160" s="2">
        <v>13</v>
      </c>
      <c r="B160" s="2">
        <v>44677.0555987634</v>
      </c>
      <c r="C160" s="2">
        <v>1156.7947449999999</v>
      </c>
      <c r="E160" s="2">
        <v>13</v>
      </c>
      <c r="F160" s="2">
        <v>44703.301602275496</v>
      </c>
      <c r="G160" s="2">
        <v>1145.2176750000001</v>
      </c>
      <c r="I160" s="2">
        <v>13</v>
      </c>
      <c r="J160" s="2">
        <v>50390.865803502602</v>
      </c>
      <c r="K160" s="2">
        <v>36.810026999999998</v>
      </c>
      <c r="M160" s="2">
        <v>13</v>
      </c>
      <c r="N160" s="2">
        <v>45832.835623203602</v>
      </c>
      <c r="O160" s="2">
        <v>1609.0452</v>
      </c>
      <c r="Q160" s="2">
        <v>13</v>
      </c>
      <c r="R160" s="2">
        <v>47033.087874715202</v>
      </c>
      <c r="S160" s="2">
        <v>37.493350999999997</v>
      </c>
      <c r="U160" s="2">
        <v>13</v>
      </c>
      <c r="V160" s="2">
        <v>48906.303801902097</v>
      </c>
      <c r="W160" s="2">
        <v>37.303277000000001</v>
      </c>
    </row>
    <row r="161" spans="1:24" x14ac:dyDescent="0.35">
      <c r="A161" s="2">
        <v>14</v>
      </c>
      <c r="B161" s="2">
        <v>44763.3342817835</v>
      </c>
      <c r="C161" s="2">
        <v>1143.1938439999999</v>
      </c>
      <c r="E161" s="2">
        <v>14</v>
      </c>
      <c r="F161" s="2">
        <v>45054.7388357745</v>
      </c>
      <c r="G161" s="2">
        <v>1155.274388</v>
      </c>
      <c r="I161" s="2">
        <v>14</v>
      </c>
      <c r="J161" s="2">
        <v>49669.311186817104</v>
      </c>
      <c r="K161" s="2">
        <v>36.562440000000002</v>
      </c>
      <c r="M161" s="2">
        <v>14</v>
      </c>
      <c r="N161" s="2">
        <v>44843.926805548603</v>
      </c>
      <c r="O161" s="2">
        <v>1629.855206</v>
      </c>
      <c r="Q161" s="2">
        <v>14</v>
      </c>
      <c r="R161" s="2">
        <v>47884.014475170698</v>
      </c>
      <c r="S161" s="2">
        <v>36.491076999999997</v>
      </c>
      <c r="U161" s="2">
        <v>14</v>
      </c>
      <c r="V161" s="2">
        <v>50611.724053087702</v>
      </c>
      <c r="W161" s="2">
        <v>37.225487999999999</v>
      </c>
    </row>
    <row r="162" spans="1:24" x14ac:dyDescent="0.35">
      <c r="A162" s="2">
        <v>15</v>
      </c>
      <c r="B162" s="2">
        <v>44965.331653324101</v>
      </c>
      <c r="C162" s="2">
        <v>1157.562316</v>
      </c>
      <c r="E162" s="2">
        <v>15</v>
      </c>
      <c r="F162" s="2">
        <v>45410.542364983499</v>
      </c>
      <c r="G162" s="2">
        <v>1155.6951019999999</v>
      </c>
      <c r="I162" s="2">
        <v>15</v>
      </c>
      <c r="J162" s="2">
        <v>49729.900133360403</v>
      </c>
      <c r="K162" s="2">
        <v>37.535041</v>
      </c>
      <c r="M162" s="2">
        <v>15</v>
      </c>
      <c r="N162" s="2">
        <v>45526.198904024699</v>
      </c>
      <c r="O162" s="2">
        <v>1623.017981</v>
      </c>
      <c r="Q162" s="2">
        <v>15</v>
      </c>
      <c r="R162" s="2">
        <v>48876.887684722198</v>
      </c>
      <c r="S162" s="2">
        <v>36.898451000000001</v>
      </c>
      <c r="U162" s="2">
        <v>15</v>
      </c>
      <c r="V162" s="2">
        <v>50267.331467238</v>
      </c>
      <c r="W162" s="2">
        <v>37.083711000000001</v>
      </c>
    </row>
    <row r="163" spans="1:24" x14ac:dyDescent="0.35">
      <c r="A163" s="2">
        <v>16</v>
      </c>
      <c r="B163" s="2">
        <v>44663.297729316299</v>
      </c>
      <c r="C163" s="2">
        <v>1148.9624080000001</v>
      </c>
      <c r="E163" s="2">
        <v>16</v>
      </c>
      <c r="F163" s="2">
        <v>44704.123354046998</v>
      </c>
      <c r="G163" s="2">
        <v>1155.4991070000001</v>
      </c>
      <c r="I163" s="2">
        <v>16</v>
      </c>
      <c r="J163" s="2">
        <v>51242.954795646401</v>
      </c>
      <c r="K163" s="2">
        <v>37.884717999999999</v>
      </c>
      <c r="M163" s="2">
        <v>16</v>
      </c>
      <c r="N163" s="2">
        <v>44916.243531044398</v>
      </c>
      <c r="O163" s="2">
        <v>1621.9521299999999</v>
      </c>
      <c r="Q163" s="2">
        <v>16</v>
      </c>
      <c r="R163" s="2">
        <v>48182.995407909999</v>
      </c>
      <c r="S163" s="2">
        <v>36.325338000000002</v>
      </c>
      <c r="U163" s="2">
        <v>16</v>
      </c>
      <c r="V163" s="2">
        <v>52611.079177018997</v>
      </c>
      <c r="W163" s="2">
        <v>37.369281000000001</v>
      </c>
    </row>
    <row r="164" spans="1:24" x14ac:dyDescent="0.35">
      <c r="A164" s="2">
        <v>17</v>
      </c>
      <c r="B164" s="2">
        <v>45256.003214078999</v>
      </c>
      <c r="C164" s="2">
        <v>1158.9139640000001</v>
      </c>
      <c r="E164" s="2">
        <v>17</v>
      </c>
      <c r="F164" s="2">
        <v>45824.591058509701</v>
      </c>
      <c r="G164" s="2">
        <v>1148.401834</v>
      </c>
      <c r="I164" s="2">
        <v>17</v>
      </c>
      <c r="J164" s="2">
        <v>50373.997641044502</v>
      </c>
      <c r="K164" s="2">
        <v>37.026243999999998</v>
      </c>
      <c r="M164" s="2">
        <v>17</v>
      </c>
      <c r="N164" s="2">
        <v>45420.364579335401</v>
      </c>
      <c r="O164" s="2">
        <v>1610.4387400000001</v>
      </c>
      <c r="Q164" s="2">
        <v>17</v>
      </c>
      <c r="R164" s="2">
        <v>47464.788517259003</v>
      </c>
      <c r="S164" s="2">
        <v>36.751161000000003</v>
      </c>
      <c r="U164" s="2">
        <v>17</v>
      </c>
      <c r="V164" s="2">
        <v>49187.440436246499</v>
      </c>
      <c r="W164" s="2">
        <v>37.063780000000001</v>
      </c>
    </row>
    <row r="165" spans="1:24" x14ac:dyDescent="0.35">
      <c r="A165" s="2">
        <v>18</v>
      </c>
      <c r="B165" s="2">
        <v>44889.562893788301</v>
      </c>
      <c r="C165" s="2">
        <v>1143.015889</v>
      </c>
      <c r="E165" s="2">
        <v>18</v>
      </c>
      <c r="F165" s="2">
        <v>44958.813601813403</v>
      </c>
      <c r="G165" s="2">
        <v>1164.980628</v>
      </c>
      <c r="I165" s="2">
        <v>18</v>
      </c>
      <c r="J165" s="2">
        <v>49795.507947076003</v>
      </c>
      <c r="K165" s="2">
        <v>37.478566999999998</v>
      </c>
      <c r="M165" s="2">
        <v>18</v>
      </c>
      <c r="N165" s="2">
        <v>44843.926805548603</v>
      </c>
      <c r="O165" s="2">
        <v>1633.5858209999999</v>
      </c>
      <c r="Q165" s="2">
        <v>18</v>
      </c>
      <c r="R165" s="2">
        <v>47020.007490342599</v>
      </c>
      <c r="S165" s="2">
        <v>37.370897999999997</v>
      </c>
      <c r="U165" s="2">
        <v>18</v>
      </c>
      <c r="V165" s="2">
        <v>49679.445548454598</v>
      </c>
      <c r="W165" s="2">
        <v>36.788401</v>
      </c>
    </row>
    <row r="166" spans="1:24" x14ac:dyDescent="0.35">
      <c r="A166" s="2">
        <v>19</v>
      </c>
      <c r="B166" s="2">
        <v>45238.510432997602</v>
      </c>
      <c r="C166" s="2">
        <v>1158.211235</v>
      </c>
      <c r="E166" s="2">
        <v>19</v>
      </c>
      <c r="F166" s="2">
        <v>44713.657175075299</v>
      </c>
      <c r="G166" s="2">
        <v>1156.959351</v>
      </c>
      <c r="I166" s="2">
        <v>19</v>
      </c>
      <c r="J166" s="2">
        <v>49491.092791657102</v>
      </c>
      <c r="K166" s="2">
        <v>37.391312999999997</v>
      </c>
      <c r="M166" s="2">
        <v>19</v>
      </c>
      <c r="N166" s="2">
        <v>45283.592862049998</v>
      </c>
      <c r="O166" s="2">
        <v>1609.8408979999999</v>
      </c>
      <c r="Q166" s="2">
        <v>19</v>
      </c>
      <c r="R166" s="2">
        <v>47033.087874715202</v>
      </c>
      <c r="S166" s="2">
        <v>35.839440000000003</v>
      </c>
      <c r="U166" s="2">
        <v>19</v>
      </c>
      <c r="V166" s="2">
        <v>49785.0459058161</v>
      </c>
      <c r="W166" s="2">
        <v>37.054893</v>
      </c>
    </row>
    <row r="167" spans="1:24" x14ac:dyDescent="0.35">
      <c r="A167" s="2">
        <v>20</v>
      </c>
      <c r="B167" s="2">
        <v>44807.732038457798</v>
      </c>
      <c r="C167" s="2">
        <v>1150.4484</v>
      </c>
      <c r="E167" s="2">
        <v>20</v>
      </c>
      <c r="F167" s="2">
        <v>45169.599965158697</v>
      </c>
      <c r="G167" s="2">
        <v>1159.8822439999999</v>
      </c>
      <c r="I167" s="2">
        <v>20</v>
      </c>
      <c r="J167" s="2">
        <v>50571.337396767201</v>
      </c>
      <c r="K167" s="2">
        <v>37.264468999999998</v>
      </c>
      <c r="M167" s="2">
        <v>20</v>
      </c>
      <c r="N167" s="2">
        <v>45283.592862049998</v>
      </c>
      <c r="O167" s="2">
        <v>1609.4985999999999</v>
      </c>
      <c r="Q167" s="2">
        <v>20</v>
      </c>
      <c r="R167" s="2">
        <v>47463.661610263101</v>
      </c>
      <c r="S167" s="2">
        <v>37.919840000000001</v>
      </c>
      <c r="U167" s="2">
        <v>20</v>
      </c>
      <c r="V167" s="2">
        <v>49088.241711276503</v>
      </c>
      <c r="W167" s="2">
        <v>37.469681999999999</v>
      </c>
    </row>
    <row r="168" spans="1:24" x14ac:dyDescent="0.35">
      <c r="A168" s="2" t="s">
        <v>19</v>
      </c>
      <c r="B168" s="3">
        <f>AVERAGE(B148:B167)</f>
        <v>45081.124106346651</v>
      </c>
      <c r="C168" s="3">
        <f>AVERAGE(C148:C167)</f>
        <v>1152.0565871999997</v>
      </c>
      <c r="F168" s="3">
        <f>AVERAGE(F148:F167)</f>
        <v>45091.139399520289</v>
      </c>
      <c r="G168" s="3">
        <f>AVERAGE(G148:G167)</f>
        <v>1156.7995694000001</v>
      </c>
      <c r="H168" s="3"/>
      <c r="J168" s="3">
        <f>AVERAGE(J148:J167)</f>
        <v>49946.294898309592</v>
      </c>
      <c r="K168" s="3">
        <f>AVERAGE(K148:K167)</f>
        <v>37.063275549999993</v>
      </c>
      <c r="L168" s="3"/>
      <c r="N168" s="3">
        <f>AVERAGE(N148:N167)</f>
        <v>45133.944592130909</v>
      </c>
      <c r="O168" s="3">
        <f>AVERAGE(O148:O167)</f>
        <v>1623.12113735</v>
      </c>
      <c r="P168" s="3"/>
      <c r="R168" s="3">
        <f>AVERAGE(R148:R167)</f>
        <v>47418.84163468585</v>
      </c>
      <c r="S168" s="3">
        <f>AVERAGE(S148:S167)</f>
        <v>36.880540249999996</v>
      </c>
      <c r="T168" s="3"/>
      <c r="V168" s="3">
        <f>AVERAGE(V148:V167)</f>
        <v>50046.235603970548</v>
      </c>
      <c r="W168" s="3">
        <f>AVERAGE(W148:W167)</f>
        <v>37.044905999999997</v>
      </c>
      <c r="X168" s="3"/>
    </row>
    <row r="169" spans="1:24" x14ac:dyDescent="0.35">
      <c r="A169" s="2" t="s">
        <v>36</v>
      </c>
      <c r="B169" s="2" cm="1">
        <f t="array" ref="B169">[1]!SignTest(B148:B167,F148:F167,2)</f>
        <v>0.26317596435546897</v>
      </c>
      <c r="C169" s="2" cm="1">
        <f t="array" ref="C169">[1]!SignTest(C148:C167,G148:G167,2)</f>
        <v>0.11531829833984381</v>
      </c>
    </row>
    <row r="170" spans="1:24" ht="21" x14ac:dyDescent="0.5">
      <c r="A170" s="10" t="s">
        <v>7</v>
      </c>
      <c r="B170" s="10"/>
      <c r="C170" s="10"/>
      <c r="E170" s="10" t="s">
        <v>7</v>
      </c>
      <c r="F170" s="10"/>
      <c r="G170" s="10"/>
      <c r="H170" s="1"/>
      <c r="I170" s="10" t="s">
        <v>7</v>
      </c>
      <c r="J170" s="10"/>
      <c r="K170" s="10"/>
      <c r="L170" s="1"/>
      <c r="M170" s="10" t="s">
        <v>7</v>
      </c>
      <c r="N170" s="10"/>
      <c r="O170" s="10"/>
      <c r="P170" s="1"/>
      <c r="Q170" s="10" t="s">
        <v>7</v>
      </c>
      <c r="R170" s="10"/>
      <c r="S170" s="10"/>
      <c r="T170" s="1"/>
      <c r="U170" s="10" t="s">
        <v>7</v>
      </c>
      <c r="V170" s="10"/>
      <c r="W170" s="10"/>
      <c r="X170" s="1"/>
    </row>
    <row r="171" spans="1:24" x14ac:dyDescent="0.35">
      <c r="A171" s="2" t="s">
        <v>15</v>
      </c>
      <c r="B171" s="2" t="s">
        <v>16</v>
      </c>
      <c r="C171" s="2" t="s">
        <v>17</v>
      </c>
      <c r="E171" s="2" t="s">
        <v>15</v>
      </c>
      <c r="F171" s="2" t="s">
        <v>16</v>
      </c>
      <c r="G171" s="2" t="s">
        <v>17</v>
      </c>
      <c r="I171" s="2" t="s">
        <v>15</v>
      </c>
      <c r="J171" s="2" t="s">
        <v>16</v>
      </c>
      <c r="K171" s="2" t="s">
        <v>17</v>
      </c>
      <c r="M171" s="2" t="s">
        <v>15</v>
      </c>
      <c r="N171" s="2" t="s">
        <v>16</v>
      </c>
      <c r="O171" s="2" t="s">
        <v>17</v>
      </c>
      <c r="Q171" s="2" t="s">
        <v>15</v>
      </c>
      <c r="R171" s="2" t="s">
        <v>16</v>
      </c>
      <c r="S171" s="2" t="s">
        <v>17</v>
      </c>
      <c r="U171" s="2" t="s">
        <v>15</v>
      </c>
      <c r="V171" s="2" t="s">
        <v>16</v>
      </c>
      <c r="W171" s="2" t="s">
        <v>17</v>
      </c>
    </row>
    <row r="172" spans="1:24" x14ac:dyDescent="0.35">
      <c r="A172" s="2">
        <v>1</v>
      </c>
      <c r="B172" s="2">
        <v>59849.5847829247</v>
      </c>
      <c r="C172" s="2">
        <v>1749.02459</v>
      </c>
      <c r="E172" s="2">
        <v>1</v>
      </c>
      <c r="F172" s="2">
        <v>59672.136817036902</v>
      </c>
      <c r="G172" s="2">
        <v>1803.7315619999999</v>
      </c>
      <c r="I172" s="2">
        <v>1</v>
      </c>
      <c r="J172" s="2">
        <v>66565.243688431801</v>
      </c>
      <c r="K172" s="2">
        <v>48.706124000000003</v>
      </c>
      <c r="M172" s="2">
        <v>1</v>
      </c>
      <c r="N172" s="2">
        <v>60864.948690892299</v>
      </c>
      <c r="O172" s="2">
        <v>2391.9140950000001</v>
      </c>
      <c r="Q172" s="2">
        <v>1</v>
      </c>
      <c r="R172" s="2">
        <v>67304.130469259399</v>
      </c>
      <c r="S172" s="2">
        <v>49.867002999999997</v>
      </c>
      <c r="U172" s="2">
        <v>1</v>
      </c>
      <c r="V172" s="2">
        <v>67169.435049286898</v>
      </c>
      <c r="W172" s="2">
        <v>50.219208000000002</v>
      </c>
    </row>
    <row r="173" spans="1:24" x14ac:dyDescent="0.35">
      <c r="A173" s="2">
        <v>2</v>
      </c>
      <c r="B173" s="2">
        <v>59766.859831559399</v>
      </c>
      <c r="C173" s="2">
        <v>1775.028665</v>
      </c>
      <c r="E173" s="2">
        <v>2</v>
      </c>
      <c r="F173" s="2">
        <v>60144.914931732601</v>
      </c>
      <c r="G173" s="2">
        <v>1798.591015</v>
      </c>
      <c r="I173" s="2">
        <v>2</v>
      </c>
      <c r="J173" s="2">
        <v>65206.932983135797</v>
      </c>
      <c r="K173" s="2">
        <v>48.712114999999997</v>
      </c>
      <c r="M173" s="2">
        <v>2</v>
      </c>
      <c r="N173" s="2">
        <v>60558.608130643901</v>
      </c>
      <c r="O173" s="2">
        <v>2397.840232</v>
      </c>
      <c r="Q173" s="2">
        <v>2</v>
      </c>
      <c r="R173" s="2">
        <v>67130.530680099095</v>
      </c>
      <c r="S173" s="2">
        <v>49.438262000000002</v>
      </c>
      <c r="U173" s="2">
        <v>2</v>
      </c>
      <c r="V173" s="2">
        <v>70134.209468203</v>
      </c>
      <c r="W173" s="2">
        <v>47.444068999999999</v>
      </c>
    </row>
    <row r="174" spans="1:24" x14ac:dyDescent="0.35">
      <c r="A174" s="2">
        <v>3</v>
      </c>
      <c r="B174" s="2">
        <v>60304.034495166503</v>
      </c>
      <c r="C174" s="2">
        <v>1744.3592040000001</v>
      </c>
      <c r="E174" s="2">
        <v>3</v>
      </c>
      <c r="F174" s="2">
        <v>59086.809531227402</v>
      </c>
      <c r="G174" s="2">
        <v>1804.9708410000001</v>
      </c>
      <c r="I174" s="2">
        <v>3</v>
      </c>
      <c r="J174" s="2">
        <v>70931.772120936497</v>
      </c>
      <c r="K174" s="2">
        <v>49.015861999999998</v>
      </c>
      <c r="M174" s="2">
        <v>3</v>
      </c>
      <c r="N174" s="2">
        <v>59990.478668632699</v>
      </c>
      <c r="O174" s="2">
        <v>2404.1182309999999</v>
      </c>
      <c r="Q174" s="2">
        <v>3</v>
      </c>
      <c r="R174" s="2">
        <v>67425.682196922295</v>
      </c>
      <c r="S174" s="2">
        <v>47.612194000000002</v>
      </c>
      <c r="U174" s="2">
        <v>3</v>
      </c>
      <c r="V174" s="2">
        <v>68927.962536281004</v>
      </c>
      <c r="W174" s="2">
        <v>49.214331000000001</v>
      </c>
    </row>
    <row r="175" spans="1:24" x14ac:dyDescent="0.35">
      <c r="A175" s="2">
        <v>4</v>
      </c>
      <c r="B175" s="2">
        <v>60428.510788141197</v>
      </c>
      <c r="C175" s="2">
        <v>1760.654319</v>
      </c>
      <c r="E175" s="2">
        <v>4</v>
      </c>
      <c r="F175" s="2">
        <v>59237.726956261198</v>
      </c>
      <c r="G175" s="2">
        <v>1813.2122509999999</v>
      </c>
      <c r="I175" s="2">
        <v>4</v>
      </c>
      <c r="J175" s="2">
        <v>71977.065902063507</v>
      </c>
      <c r="K175" s="2">
        <v>49.172434000000003</v>
      </c>
      <c r="M175" s="2">
        <v>4</v>
      </c>
      <c r="N175" s="2">
        <v>64584.830140672399</v>
      </c>
      <c r="O175" s="2">
        <v>2413.208173</v>
      </c>
      <c r="Q175" s="2">
        <v>4</v>
      </c>
      <c r="R175" s="2">
        <v>67398.387757436794</v>
      </c>
      <c r="S175" s="2">
        <v>45.550891</v>
      </c>
      <c r="U175" s="2">
        <v>4</v>
      </c>
      <c r="V175" s="2">
        <v>68735.984038285096</v>
      </c>
      <c r="W175" s="2">
        <v>46.937247999999997</v>
      </c>
    </row>
    <row r="176" spans="1:24" x14ac:dyDescent="0.35">
      <c r="A176" s="2">
        <v>5</v>
      </c>
      <c r="B176" s="2">
        <v>59900.883580086098</v>
      </c>
      <c r="C176" s="2">
        <v>1777.599269</v>
      </c>
      <c r="E176" s="2">
        <v>5</v>
      </c>
      <c r="F176" s="2">
        <v>59766.859831559399</v>
      </c>
      <c r="G176" s="2">
        <v>1791.9018100000001</v>
      </c>
      <c r="I176" s="2">
        <v>5</v>
      </c>
      <c r="J176" s="2">
        <v>66724.9363328568</v>
      </c>
      <c r="K176" s="2">
        <v>48.819411000000002</v>
      </c>
      <c r="M176" s="2">
        <v>5</v>
      </c>
      <c r="N176" s="2">
        <v>59990.478668632699</v>
      </c>
      <c r="O176" s="2">
        <v>2428.3522549999998</v>
      </c>
      <c r="Q176" s="2">
        <v>5</v>
      </c>
      <c r="R176" s="2">
        <v>67056.600674246103</v>
      </c>
      <c r="S176" s="2">
        <v>46.900264</v>
      </c>
      <c r="U176" s="2">
        <v>5</v>
      </c>
      <c r="V176" s="2">
        <v>70580.374634968495</v>
      </c>
      <c r="W176" s="2">
        <v>50.025143</v>
      </c>
    </row>
    <row r="177" spans="1:24" x14ac:dyDescent="0.35">
      <c r="A177" s="2">
        <v>6</v>
      </c>
      <c r="B177" s="2">
        <v>59548.598266988301</v>
      </c>
      <c r="C177" s="2">
        <v>1743.9982480000001</v>
      </c>
      <c r="E177" s="2">
        <v>6</v>
      </c>
      <c r="F177" s="2">
        <v>59616.621786469201</v>
      </c>
      <c r="G177" s="2">
        <v>1795.329025</v>
      </c>
      <c r="I177" s="2">
        <v>6</v>
      </c>
      <c r="J177" s="2">
        <v>69887.480768858499</v>
      </c>
      <c r="K177" s="2">
        <v>49.824351</v>
      </c>
      <c r="M177" s="2">
        <v>6</v>
      </c>
      <c r="N177" s="2">
        <v>60371.936188192398</v>
      </c>
      <c r="O177" s="2">
        <v>2414.074826</v>
      </c>
      <c r="Q177" s="2">
        <v>6</v>
      </c>
      <c r="R177" s="2">
        <v>67304.130469259399</v>
      </c>
      <c r="S177" s="2">
        <v>48.907769000000002</v>
      </c>
      <c r="U177" s="2">
        <v>6</v>
      </c>
      <c r="V177" s="2">
        <v>62959.764891797</v>
      </c>
      <c r="W177" s="2">
        <v>49.825850000000003</v>
      </c>
    </row>
    <row r="178" spans="1:24" x14ac:dyDescent="0.35">
      <c r="A178" s="2">
        <v>7</v>
      </c>
      <c r="B178" s="2">
        <v>59385.671497013398</v>
      </c>
      <c r="C178" s="2">
        <v>1782.782393</v>
      </c>
      <c r="E178" s="2">
        <v>7</v>
      </c>
      <c r="F178" s="2">
        <v>60613.289345400197</v>
      </c>
      <c r="G178" s="2">
        <v>1785.0840109999999</v>
      </c>
      <c r="I178" s="2">
        <v>7</v>
      </c>
      <c r="J178" s="2">
        <v>68876.315525879894</v>
      </c>
      <c r="K178" s="2">
        <v>49.935937000000003</v>
      </c>
      <c r="M178" s="2">
        <v>7</v>
      </c>
      <c r="N178" s="2">
        <v>59990.478668632699</v>
      </c>
      <c r="O178" s="2">
        <v>2398.4585149999998</v>
      </c>
      <c r="Q178" s="2">
        <v>7</v>
      </c>
      <c r="R178" s="2">
        <v>67304.130469259399</v>
      </c>
      <c r="S178" s="2">
        <v>48.941574000000003</v>
      </c>
      <c r="U178" s="2">
        <v>7</v>
      </c>
      <c r="V178" s="2">
        <v>71530.165214241701</v>
      </c>
      <c r="W178" s="2">
        <v>49.763914</v>
      </c>
    </row>
    <row r="179" spans="1:24" x14ac:dyDescent="0.35">
      <c r="A179" s="2">
        <v>8</v>
      </c>
      <c r="B179" s="2">
        <v>60498.290452813701</v>
      </c>
      <c r="C179" s="2">
        <v>1787.9088609999999</v>
      </c>
      <c r="E179" s="2">
        <v>8</v>
      </c>
      <c r="F179" s="2">
        <v>59783.242603628503</v>
      </c>
      <c r="G179" s="2">
        <v>1816.4779739999999</v>
      </c>
      <c r="I179" s="2">
        <v>8</v>
      </c>
      <c r="J179" s="2">
        <v>66914.367518784493</v>
      </c>
      <c r="K179" s="2">
        <v>48.460762000000003</v>
      </c>
      <c r="M179" s="2">
        <v>8</v>
      </c>
      <c r="N179" s="2">
        <v>60371.936188192398</v>
      </c>
      <c r="O179" s="2">
        <v>2404.0623150000001</v>
      </c>
      <c r="Q179" s="2">
        <v>8</v>
      </c>
      <c r="R179" s="2">
        <v>67986.244250756805</v>
      </c>
      <c r="S179" s="2">
        <v>49.333857999999999</v>
      </c>
      <c r="U179" s="2">
        <v>8</v>
      </c>
      <c r="V179" s="2">
        <v>64884.448371952698</v>
      </c>
      <c r="W179" s="2">
        <v>49.503546</v>
      </c>
    </row>
    <row r="180" spans="1:24" x14ac:dyDescent="0.35">
      <c r="A180" s="2">
        <v>9</v>
      </c>
      <c r="B180" s="2">
        <v>59845.641188265603</v>
      </c>
      <c r="C180" s="2">
        <v>1776.9992830000001</v>
      </c>
      <c r="E180" s="2">
        <v>9</v>
      </c>
      <c r="F180" s="2">
        <v>59845.641188265603</v>
      </c>
      <c r="G180" s="2">
        <v>1812.967676</v>
      </c>
      <c r="I180" s="2">
        <v>9</v>
      </c>
      <c r="J180" s="2">
        <v>65257.054954355197</v>
      </c>
      <c r="K180" s="2">
        <v>48.162134000000002</v>
      </c>
      <c r="M180" s="2">
        <v>9</v>
      </c>
      <c r="N180" s="2">
        <v>60864.948690892299</v>
      </c>
      <c r="O180" s="2">
        <v>2407.7792279999999</v>
      </c>
      <c r="Q180" s="2">
        <v>9</v>
      </c>
      <c r="R180" s="2">
        <v>67575.574326144604</v>
      </c>
      <c r="S180" s="2">
        <v>49.394953999999998</v>
      </c>
      <c r="U180" s="2">
        <v>9</v>
      </c>
      <c r="V180" s="2">
        <v>66444.993153083793</v>
      </c>
      <c r="W180" s="2">
        <v>46.264381999999998</v>
      </c>
    </row>
    <row r="181" spans="1:24" x14ac:dyDescent="0.35">
      <c r="A181" s="2">
        <v>10</v>
      </c>
      <c r="B181" s="2">
        <v>60550.448268660199</v>
      </c>
      <c r="C181" s="2">
        <v>1774.085482</v>
      </c>
      <c r="E181" s="2">
        <v>10</v>
      </c>
      <c r="F181" s="2">
        <v>60574.530328144101</v>
      </c>
      <c r="G181" s="2">
        <v>1821.438699</v>
      </c>
      <c r="I181" s="2">
        <v>10</v>
      </c>
      <c r="J181" s="2">
        <v>63928.920769541102</v>
      </c>
      <c r="K181" s="2">
        <v>48.247107999999997</v>
      </c>
      <c r="M181" s="2">
        <v>10</v>
      </c>
      <c r="N181" s="2">
        <v>60371.936188192398</v>
      </c>
      <c r="O181" s="2">
        <v>2399.8826180000001</v>
      </c>
      <c r="Q181" s="2">
        <v>10</v>
      </c>
      <c r="R181" s="2">
        <v>67814.456520772699</v>
      </c>
      <c r="S181" s="2">
        <v>49.366028999999997</v>
      </c>
      <c r="U181" s="2">
        <v>10</v>
      </c>
      <c r="V181" s="2">
        <v>67281.5780372929</v>
      </c>
      <c r="W181" s="2">
        <v>48.097684000000001</v>
      </c>
    </row>
    <row r="182" spans="1:24" x14ac:dyDescent="0.35">
      <c r="A182" s="2">
        <v>11</v>
      </c>
      <c r="B182" s="2">
        <v>60858.503026587001</v>
      </c>
      <c r="C182" s="2">
        <v>1770.148236</v>
      </c>
      <c r="E182" s="2">
        <v>11</v>
      </c>
      <c r="F182" s="2">
        <v>59933.239045068098</v>
      </c>
      <c r="G182" s="2">
        <v>1809.920705</v>
      </c>
      <c r="I182" s="2">
        <v>11</v>
      </c>
      <c r="J182" s="2">
        <v>68214.640291862597</v>
      </c>
      <c r="K182" s="2">
        <v>48.107393999999999</v>
      </c>
      <c r="M182" s="2">
        <v>11</v>
      </c>
      <c r="N182" s="2">
        <v>61432.231753882203</v>
      </c>
      <c r="O182" s="2">
        <v>2418.2565420000001</v>
      </c>
      <c r="Q182" s="2">
        <v>11</v>
      </c>
      <c r="R182" s="2">
        <v>64224.958748939804</v>
      </c>
      <c r="S182" s="2">
        <v>47.787970999999999</v>
      </c>
      <c r="U182" s="2">
        <v>11</v>
      </c>
      <c r="V182" s="2">
        <v>63317.8588684231</v>
      </c>
      <c r="W182" s="2">
        <v>48.912674000000003</v>
      </c>
    </row>
    <row r="183" spans="1:24" x14ac:dyDescent="0.35">
      <c r="A183" s="2">
        <v>12</v>
      </c>
      <c r="B183" s="2">
        <v>59381.012485841296</v>
      </c>
      <c r="C183" s="2">
        <v>1775.0939539999999</v>
      </c>
      <c r="E183" s="2">
        <v>12</v>
      </c>
      <c r="F183" s="2">
        <v>60304.034495166503</v>
      </c>
      <c r="G183" s="2">
        <v>1796.3980120000001</v>
      </c>
      <c r="I183" s="2">
        <v>12</v>
      </c>
      <c r="J183" s="2">
        <v>70437.5267946448</v>
      </c>
      <c r="K183" s="2">
        <v>49.264865999999998</v>
      </c>
      <c r="M183" s="2">
        <v>12</v>
      </c>
      <c r="N183" s="2">
        <v>61179.5610340805</v>
      </c>
      <c r="O183" s="2">
        <v>2409.9786559999998</v>
      </c>
      <c r="Q183" s="2">
        <v>12</v>
      </c>
      <c r="R183" s="2">
        <v>67056.600674246103</v>
      </c>
      <c r="S183" s="2">
        <v>47.763334999999998</v>
      </c>
      <c r="U183" s="2">
        <v>12</v>
      </c>
      <c r="V183" s="2">
        <v>68801.699849590994</v>
      </c>
      <c r="W183" s="2">
        <v>48.515782000000002</v>
      </c>
    </row>
    <row r="184" spans="1:24" x14ac:dyDescent="0.35">
      <c r="A184" s="2">
        <v>13</v>
      </c>
      <c r="B184" s="2">
        <v>59849.5847829247</v>
      </c>
      <c r="C184" s="2">
        <v>1779.1923730000001</v>
      </c>
      <c r="E184" s="2">
        <v>13</v>
      </c>
      <c r="F184" s="2">
        <v>59849.5847829247</v>
      </c>
      <c r="G184" s="2">
        <v>1794.6791840000001</v>
      </c>
      <c r="I184" s="2">
        <v>13</v>
      </c>
      <c r="J184" s="2">
        <v>64697.282716512302</v>
      </c>
      <c r="K184" s="2">
        <v>49.137892000000001</v>
      </c>
      <c r="M184" s="2">
        <v>13</v>
      </c>
      <c r="N184" s="2">
        <v>59990.478668632699</v>
      </c>
      <c r="O184" s="2">
        <v>2418.99577</v>
      </c>
      <c r="Q184" s="2">
        <v>13</v>
      </c>
      <c r="R184" s="2">
        <v>67304.130469259399</v>
      </c>
      <c r="S184" s="2">
        <v>48.319111999999997</v>
      </c>
      <c r="U184" s="2">
        <v>13</v>
      </c>
      <c r="V184" s="2">
        <v>69094.730376604406</v>
      </c>
      <c r="W184" s="2">
        <v>49.599972000000001</v>
      </c>
    </row>
    <row r="185" spans="1:24" x14ac:dyDescent="0.35">
      <c r="A185" s="2">
        <v>14</v>
      </c>
      <c r="B185" s="2">
        <v>60574.530328144101</v>
      </c>
      <c r="C185" s="2">
        <v>1773.822913</v>
      </c>
      <c r="E185" s="2">
        <v>14</v>
      </c>
      <c r="F185" s="2">
        <v>59245.929094661296</v>
      </c>
      <c r="G185" s="2">
        <v>1816.8089520000001</v>
      </c>
      <c r="I185" s="2">
        <v>14</v>
      </c>
      <c r="J185" s="2">
        <v>66990.078520145194</v>
      </c>
      <c r="K185" s="2">
        <v>49.320742000000003</v>
      </c>
      <c r="M185" s="2">
        <v>14</v>
      </c>
      <c r="N185" s="2">
        <v>60741.017710868597</v>
      </c>
      <c r="O185" s="2">
        <v>2389.230442</v>
      </c>
      <c r="Q185" s="2">
        <v>14</v>
      </c>
      <c r="R185" s="2">
        <v>67304.130469259399</v>
      </c>
      <c r="S185" s="2">
        <v>49.166510000000002</v>
      </c>
      <c r="U185" s="2">
        <v>14</v>
      </c>
      <c r="V185" s="2">
        <v>66844.185919652795</v>
      </c>
      <c r="W185" s="2">
        <v>49.017628999999999</v>
      </c>
    </row>
    <row r="186" spans="1:24" x14ac:dyDescent="0.35">
      <c r="A186" s="2">
        <v>15</v>
      </c>
      <c r="B186" s="2">
        <v>59887.112209975203</v>
      </c>
      <c r="C186" s="2">
        <v>1777.465158</v>
      </c>
      <c r="E186" s="2">
        <v>15</v>
      </c>
      <c r="F186" s="2">
        <v>60144.914931732601</v>
      </c>
      <c r="G186" s="2">
        <v>1804.483984</v>
      </c>
      <c r="I186" s="2">
        <v>15</v>
      </c>
      <c r="J186" s="2">
        <v>67354.826799998395</v>
      </c>
      <c r="K186" s="2">
        <v>48.513635000000001</v>
      </c>
      <c r="M186" s="2">
        <v>15</v>
      </c>
      <c r="N186" s="2">
        <v>59990.478668632699</v>
      </c>
      <c r="O186" s="2">
        <v>2414.2295600000002</v>
      </c>
      <c r="Q186" s="2">
        <v>15</v>
      </c>
      <c r="R186" s="2">
        <v>67056.600674246103</v>
      </c>
      <c r="S186" s="2">
        <v>49.361409000000002</v>
      </c>
      <c r="U186" s="2">
        <v>15</v>
      </c>
      <c r="V186" s="2">
        <v>66316.003067387195</v>
      </c>
      <c r="W186" s="2">
        <v>49.993510000000001</v>
      </c>
    </row>
    <row r="187" spans="1:24" x14ac:dyDescent="0.35">
      <c r="A187" s="2">
        <v>16</v>
      </c>
      <c r="B187" s="2">
        <v>60304.034495166503</v>
      </c>
      <c r="C187" s="2">
        <v>1776.5343969999999</v>
      </c>
      <c r="E187" s="2">
        <v>16</v>
      </c>
      <c r="F187" s="2">
        <v>59766.859831559399</v>
      </c>
      <c r="G187" s="2">
        <v>1817.5494229999999</v>
      </c>
      <c r="I187" s="2">
        <v>16</v>
      </c>
      <c r="J187" s="2">
        <v>65766.310875640804</v>
      </c>
      <c r="K187" s="2">
        <v>48.771648999999996</v>
      </c>
      <c r="M187" s="2">
        <v>16</v>
      </c>
      <c r="N187" s="2">
        <v>63723.2274540418</v>
      </c>
      <c r="O187" s="2">
        <v>2403.8892970000002</v>
      </c>
      <c r="Q187" s="2">
        <v>16</v>
      </c>
      <c r="R187" s="2">
        <v>67314.530886814595</v>
      </c>
      <c r="S187" s="2">
        <v>47.828111</v>
      </c>
      <c r="U187" s="2">
        <v>16</v>
      </c>
      <c r="V187" s="2">
        <v>65691.096116750603</v>
      </c>
      <c r="W187" s="2">
        <v>49.782519000000001</v>
      </c>
    </row>
    <row r="188" spans="1:24" x14ac:dyDescent="0.35">
      <c r="A188" s="2">
        <v>17</v>
      </c>
      <c r="B188" s="2">
        <v>59576.630564190098</v>
      </c>
      <c r="C188" s="2">
        <v>1790.699198</v>
      </c>
      <c r="E188" s="2">
        <v>17</v>
      </c>
      <c r="F188" s="2">
        <v>59396.8465196951</v>
      </c>
      <c r="G188" s="2">
        <v>1816.2233040000001</v>
      </c>
      <c r="I188" s="2">
        <v>17</v>
      </c>
      <c r="J188" s="2">
        <v>68388.118776531599</v>
      </c>
      <c r="K188" s="2">
        <v>48.369267000000001</v>
      </c>
      <c r="M188" s="2">
        <v>17</v>
      </c>
      <c r="N188" s="2">
        <v>60514.8349187313</v>
      </c>
      <c r="O188" s="2">
        <v>2411.6653679999999</v>
      </c>
      <c r="Q188" s="2">
        <v>17</v>
      </c>
      <c r="R188" s="2">
        <v>67304.130469259399</v>
      </c>
      <c r="S188" s="2">
        <v>48.529071999999999</v>
      </c>
      <c r="U188" s="2">
        <v>17</v>
      </c>
      <c r="V188" s="2">
        <v>64452.852997744703</v>
      </c>
      <c r="W188" s="2">
        <v>49.568136000000003</v>
      </c>
    </row>
    <row r="189" spans="1:24" x14ac:dyDescent="0.35">
      <c r="A189" s="2">
        <v>18</v>
      </c>
      <c r="B189" s="2">
        <v>60121.652128908099</v>
      </c>
      <c r="C189" s="2">
        <v>1791.9285319999999</v>
      </c>
      <c r="E189" s="2">
        <v>18</v>
      </c>
      <c r="F189" s="2">
        <v>60574.530328144101</v>
      </c>
      <c r="G189" s="2">
        <v>1808.8190139999999</v>
      </c>
      <c r="I189" s="2">
        <v>18</v>
      </c>
      <c r="J189" s="2">
        <v>68496.183603043595</v>
      </c>
      <c r="K189" s="2">
        <v>49.045130999999998</v>
      </c>
      <c r="M189" s="2">
        <v>18</v>
      </c>
      <c r="N189" s="2">
        <v>64584.830140672399</v>
      </c>
      <c r="O189" s="2">
        <v>2394.7616929999999</v>
      </c>
      <c r="Q189" s="2">
        <v>18</v>
      </c>
      <c r="R189" s="2">
        <v>67304.130469259399</v>
      </c>
      <c r="S189" s="2">
        <v>49.784221000000002</v>
      </c>
      <c r="U189" s="2">
        <v>18</v>
      </c>
      <c r="V189" s="2">
        <v>67649.734678331399</v>
      </c>
      <c r="W189" s="2">
        <v>50.181458999999997</v>
      </c>
    </row>
    <row r="190" spans="1:24" x14ac:dyDescent="0.35">
      <c r="A190" s="2">
        <v>19</v>
      </c>
      <c r="B190" s="2">
        <v>60574.530328144101</v>
      </c>
      <c r="C190" s="2">
        <v>1784.7981749999999</v>
      </c>
      <c r="E190" s="2">
        <v>19</v>
      </c>
      <c r="F190" s="2">
        <v>59576.630564190098</v>
      </c>
      <c r="G190" s="2">
        <v>1816.25359</v>
      </c>
      <c r="I190" s="2">
        <v>19</v>
      </c>
      <c r="J190" s="2">
        <v>67025.813189793407</v>
      </c>
      <c r="K190" s="2">
        <v>49.984236000000003</v>
      </c>
      <c r="M190" s="2">
        <v>19</v>
      </c>
      <c r="N190" s="2">
        <v>59990.478668632699</v>
      </c>
      <c r="O190" s="2">
        <v>2389.617174</v>
      </c>
      <c r="Q190" s="2">
        <v>19</v>
      </c>
      <c r="R190" s="2">
        <v>67143.0035836358</v>
      </c>
      <c r="S190" s="2">
        <v>49.099161000000002</v>
      </c>
      <c r="U190" s="2">
        <v>19</v>
      </c>
      <c r="V190" s="2">
        <v>66181.227097611802</v>
      </c>
      <c r="W190" s="2">
        <v>48.188039000000003</v>
      </c>
    </row>
    <row r="191" spans="1:24" x14ac:dyDescent="0.35">
      <c r="A191" s="2">
        <v>20</v>
      </c>
      <c r="B191" s="2">
        <v>60933.697226137097</v>
      </c>
      <c r="C191" s="2">
        <v>1775.5759760000001</v>
      </c>
      <c r="E191" s="2">
        <v>20</v>
      </c>
      <c r="F191" s="2">
        <v>60304.034495166503</v>
      </c>
      <c r="G191" s="2">
        <v>1815.110553</v>
      </c>
      <c r="I191" s="2">
        <v>20</v>
      </c>
      <c r="J191" s="2">
        <v>66227.911267784904</v>
      </c>
      <c r="K191" s="2">
        <v>49.191896</v>
      </c>
      <c r="M191" s="2">
        <v>20</v>
      </c>
      <c r="N191" s="2">
        <v>65119.4097986173</v>
      </c>
      <c r="O191" s="2">
        <v>2410.0590309999998</v>
      </c>
      <c r="Q191" s="2">
        <v>20</v>
      </c>
      <c r="R191" s="2">
        <v>67549.613176946004</v>
      </c>
      <c r="S191" s="2">
        <v>49.384292000000002</v>
      </c>
      <c r="U191" s="2">
        <v>20</v>
      </c>
      <c r="V191" s="2">
        <v>67031.981809159304</v>
      </c>
      <c r="W191" s="2">
        <v>49.557732000000001</v>
      </c>
    </row>
    <row r="192" spans="1:24" x14ac:dyDescent="0.35">
      <c r="A192" s="2" t="s">
        <v>19</v>
      </c>
      <c r="B192" s="3">
        <f>AVERAGE(B172:B191)</f>
        <v>60106.990536381876</v>
      </c>
      <c r="C192" s="3">
        <f>AVERAGE(C172:C191)</f>
        <v>1773.3849613000002</v>
      </c>
      <c r="F192" s="3">
        <f>AVERAGE(F172:F191)</f>
        <v>59871.918870401663</v>
      </c>
      <c r="G192" s="3">
        <f>AVERAGE(G172:G191)</f>
        <v>1806.9975792499997</v>
      </c>
      <c r="H192" s="3"/>
      <c r="J192" s="3">
        <f>AVERAGE(J172:J191)</f>
        <v>67493.439170040059</v>
      </c>
      <c r="K192" s="3">
        <f>AVERAGE(K172:K191)</f>
        <v>48.938147300000004</v>
      </c>
      <c r="L192" s="3"/>
      <c r="N192" s="3">
        <f>AVERAGE(N172:N191)</f>
        <v>61261.356452018415</v>
      </c>
      <c r="O192" s="3">
        <f>AVERAGE(O172:O191)</f>
        <v>2406.0187010499999</v>
      </c>
      <c r="P192" s="3"/>
      <c r="R192" s="3">
        <f>AVERAGE(R172:R191)</f>
        <v>67193.084871801126</v>
      </c>
      <c r="S192" s="3">
        <f>AVERAGE(S172:S191)</f>
        <v>48.6167996</v>
      </c>
      <c r="T192" s="3"/>
      <c r="V192" s="3">
        <f>AVERAGE(V172:V191)</f>
        <v>67201.51430883244</v>
      </c>
      <c r="W192" s="3">
        <f>AVERAGE(W172:W191)</f>
        <v>49.030641349999996</v>
      </c>
      <c r="X192" s="3"/>
    </row>
    <row r="193" spans="1:24" x14ac:dyDescent="0.35">
      <c r="A193" s="2" t="s">
        <v>36</v>
      </c>
      <c r="B193" s="2" cm="1">
        <f t="array" ref="B193">[1]!SignTest(B172:B191,F172:F191,2)</f>
        <v>0.48068237304687506</v>
      </c>
      <c r="C193" s="2" cm="1">
        <f t="array" ref="C193">[1]!SignTest(C172:C191,G172:G191,2)</f>
        <v>1.9073486328125E-6</v>
      </c>
    </row>
    <row r="194" spans="1:24" ht="21" x14ac:dyDescent="0.5">
      <c r="A194" s="10" t="s">
        <v>8</v>
      </c>
      <c r="B194" s="10"/>
      <c r="C194" s="10"/>
      <c r="E194" s="10" t="s">
        <v>8</v>
      </c>
      <c r="F194" s="10"/>
      <c r="G194" s="10"/>
      <c r="H194" s="1"/>
      <c r="I194" s="10" t="s">
        <v>8</v>
      </c>
      <c r="J194" s="10"/>
      <c r="K194" s="10"/>
      <c r="L194" s="1"/>
      <c r="M194" s="10" t="s">
        <v>8</v>
      </c>
      <c r="N194" s="10"/>
      <c r="O194" s="10"/>
      <c r="P194" s="1"/>
      <c r="Q194" s="10" t="s">
        <v>8</v>
      </c>
      <c r="R194" s="10"/>
      <c r="S194" s="10"/>
      <c r="T194" s="1"/>
      <c r="U194" s="10" t="s">
        <v>8</v>
      </c>
      <c r="V194" s="10"/>
      <c r="W194" s="10"/>
      <c r="X194" s="1"/>
    </row>
    <row r="195" spans="1:24" x14ac:dyDescent="0.35">
      <c r="A195" s="2" t="s">
        <v>15</v>
      </c>
      <c r="B195" s="2" t="s">
        <v>16</v>
      </c>
      <c r="C195" s="2" t="s">
        <v>17</v>
      </c>
      <c r="E195" s="2" t="s">
        <v>15</v>
      </c>
      <c r="F195" s="2" t="s">
        <v>16</v>
      </c>
      <c r="G195" s="2" t="s">
        <v>17</v>
      </c>
      <c r="I195" s="2" t="s">
        <v>15</v>
      </c>
      <c r="J195" s="2" t="s">
        <v>16</v>
      </c>
      <c r="K195" s="2" t="s">
        <v>17</v>
      </c>
      <c r="M195" s="2" t="s">
        <v>15</v>
      </c>
      <c r="N195" s="2" t="s">
        <v>16</v>
      </c>
      <c r="O195" s="2" t="s">
        <v>17</v>
      </c>
      <c r="Q195" s="2" t="s">
        <v>15</v>
      </c>
      <c r="R195" s="2" t="s">
        <v>16</v>
      </c>
      <c r="S195" s="2" t="s">
        <v>17</v>
      </c>
      <c r="U195" s="2" t="s">
        <v>15</v>
      </c>
      <c r="V195" s="2" t="s">
        <v>16</v>
      </c>
      <c r="W195" s="2" t="s">
        <v>17</v>
      </c>
    </row>
    <row r="196" spans="1:24" x14ac:dyDescent="0.35">
      <c r="A196" s="2">
        <v>1</v>
      </c>
      <c r="B196" s="2">
        <v>119188.10515382299</v>
      </c>
      <c r="C196" s="2">
        <v>2148.1283450000001</v>
      </c>
      <c r="E196" s="2">
        <v>1</v>
      </c>
      <c r="F196" s="2">
        <v>121064.398076144</v>
      </c>
      <c r="G196" s="2">
        <v>2200.2656769999999</v>
      </c>
      <c r="I196" s="2">
        <v>1</v>
      </c>
      <c r="J196" s="2">
        <v>135455.45426058001</v>
      </c>
      <c r="K196" s="2">
        <v>50.833374999999997</v>
      </c>
      <c r="M196" s="2">
        <v>1</v>
      </c>
      <c r="N196" s="2">
        <v>122199.08324286999</v>
      </c>
      <c r="O196" s="2">
        <v>3112.7667329999999</v>
      </c>
      <c r="Q196" s="2">
        <v>1</v>
      </c>
      <c r="R196" s="2">
        <v>137161.09192845001</v>
      </c>
      <c r="S196" s="2">
        <v>52.424177999999998</v>
      </c>
      <c r="U196" s="2">
        <v>1</v>
      </c>
      <c r="V196" s="2">
        <v>135623.92676067099</v>
      </c>
      <c r="W196" s="2">
        <v>50.226208</v>
      </c>
    </row>
    <row r="197" spans="1:24" x14ac:dyDescent="0.35">
      <c r="A197" s="2">
        <v>2</v>
      </c>
      <c r="B197" s="2">
        <v>121249.458503473</v>
      </c>
      <c r="C197" s="2">
        <v>2171.6479869999998</v>
      </c>
      <c r="E197" s="2">
        <v>2</v>
      </c>
      <c r="F197" s="2">
        <v>119011.496785173</v>
      </c>
      <c r="G197" s="2">
        <v>2217.6672170000002</v>
      </c>
      <c r="I197" s="2">
        <v>2</v>
      </c>
      <c r="J197" s="2">
        <v>136720.82335855899</v>
      </c>
      <c r="K197" s="2">
        <v>51.722037999999998</v>
      </c>
      <c r="M197" s="2">
        <v>2</v>
      </c>
      <c r="N197" s="2">
        <v>126623.836478572</v>
      </c>
      <c r="O197" s="2">
        <v>3128.3582409999999</v>
      </c>
      <c r="Q197" s="2">
        <v>2</v>
      </c>
      <c r="R197" s="2">
        <v>134255.941392031</v>
      </c>
      <c r="S197" s="2">
        <v>51.012250999999999</v>
      </c>
      <c r="U197" s="2">
        <v>2</v>
      </c>
      <c r="V197" s="2">
        <v>130630.883699206</v>
      </c>
      <c r="W197" s="2">
        <v>51.174985999999997</v>
      </c>
    </row>
    <row r="198" spans="1:24" x14ac:dyDescent="0.35">
      <c r="A198" s="2">
        <v>3</v>
      </c>
      <c r="B198" s="2">
        <v>119534.49178351799</v>
      </c>
      <c r="C198" s="2">
        <v>2132.8772859999999</v>
      </c>
      <c r="E198" s="2">
        <v>3</v>
      </c>
      <c r="F198" s="2">
        <v>122193.84568356301</v>
      </c>
      <c r="G198" s="2">
        <v>2209.633718</v>
      </c>
      <c r="I198" s="2">
        <v>3</v>
      </c>
      <c r="J198" s="2">
        <v>135144.49260356699</v>
      </c>
      <c r="K198" s="2">
        <v>50.319032999999997</v>
      </c>
      <c r="M198" s="2">
        <v>3</v>
      </c>
      <c r="N198" s="2">
        <v>124133.25530352</v>
      </c>
      <c r="O198" s="2">
        <v>3138.314777</v>
      </c>
      <c r="Q198" s="2">
        <v>3</v>
      </c>
      <c r="R198" s="2">
        <v>130850.876604216</v>
      </c>
      <c r="S198" s="2">
        <v>50.300167999999999</v>
      </c>
      <c r="U198" s="2">
        <v>3</v>
      </c>
      <c r="V198" s="2">
        <v>139179.68883619801</v>
      </c>
      <c r="W198" s="2">
        <v>51.246375999999998</v>
      </c>
    </row>
    <row r="199" spans="1:24" x14ac:dyDescent="0.35">
      <c r="A199" s="2">
        <v>4</v>
      </c>
      <c r="B199" s="2">
        <v>120532.480974374</v>
      </c>
      <c r="C199" s="2">
        <v>2170.2218240000002</v>
      </c>
      <c r="E199" s="2">
        <v>4</v>
      </c>
      <c r="F199" s="2">
        <v>118926.877423666</v>
      </c>
      <c r="G199" s="2">
        <v>2231.6745719999999</v>
      </c>
      <c r="I199" s="2">
        <v>4</v>
      </c>
      <c r="J199" s="2">
        <v>144498.39527879001</v>
      </c>
      <c r="K199" s="2">
        <v>51.853703000000003</v>
      </c>
      <c r="M199" s="2">
        <v>4</v>
      </c>
      <c r="N199" s="2">
        <v>125550.234480271</v>
      </c>
      <c r="O199" s="2">
        <v>3130.5170739999999</v>
      </c>
      <c r="Q199" s="2">
        <v>4</v>
      </c>
      <c r="R199" s="2">
        <v>136928.96392292599</v>
      </c>
      <c r="S199" s="2">
        <v>51.682229999999997</v>
      </c>
      <c r="U199" s="2">
        <v>4</v>
      </c>
      <c r="V199" s="2">
        <v>137955.20484349501</v>
      </c>
      <c r="W199" s="2">
        <v>51.594974000000001</v>
      </c>
    </row>
    <row r="200" spans="1:24" x14ac:dyDescent="0.35">
      <c r="A200" s="2">
        <v>5</v>
      </c>
      <c r="B200" s="2">
        <v>121050.331040032</v>
      </c>
      <c r="C200" s="2">
        <v>2164.7811700000002</v>
      </c>
      <c r="E200" s="2">
        <v>5</v>
      </c>
      <c r="F200" s="2">
        <v>120188.13175752301</v>
      </c>
      <c r="G200" s="2">
        <v>2218.151394</v>
      </c>
      <c r="I200" s="2">
        <v>5</v>
      </c>
      <c r="J200" s="2">
        <v>141160.40406819401</v>
      </c>
      <c r="K200" s="2">
        <v>51.340136999999999</v>
      </c>
      <c r="M200" s="2">
        <v>5</v>
      </c>
      <c r="N200" s="2">
        <v>123963.337951405</v>
      </c>
      <c r="O200" s="2">
        <v>3121.6305769999999</v>
      </c>
      <c r="Q200" s="2">
        <v>5</v>
      </c>
      <c r="R200" s="2">
        <v>134098.62048908501</v>
      </c>
      <c r="S200" s="2">
        <v>51.941375000000001</v>
      </c>
      <c r="U200" s="2">
        <v>5</v>
      </c>
      <c r="V200" s="2">
        <v>139009.998268686</v>
      </c>
      <c r="W200" s="2">
        <v>51.220818999999999</v>
      </c>
    </row>
    <row r="201" spans="1:24" x14ac:dyDescent="0.35">
      <c r="A201" s="2">
        <v>6</v>
      </c>
      <c r="B201" s="2">
        <v>120976.963512952</v>
      </c>
      <c r="C201" s="2">
        <v>2181.4958499999998</v>
      </c>
      <c r="E201" s="2">
        <v>6</v>
      </c>
      <c r="F201" s="2">
        <v>122363.332186481</v>
      </c>
      <c r="G201" s="2">
        <v>2186.339097</v>
      </c>
      <c r="I201" s="2">
        <v>6</v>
      </c>
      <c r="J201" s="2">
        <v>131936.71351820201</v>
      </c>
      <c r="K201" s="2">
        <v>51.597554000000002</v>
      </c>
      <c r="M201" s="2">
        <v>6</v>
      </c>
      <c r="N201" s="2">
        <v>125970.01083882</v>
      </c>
      <c r="O201" s="2">
        <v>3120.7082799999998</v>
      </c>
      <c r="Q201" s="2">
        <v>6</v>
      </c>
      <c r="R201" s="2">
        <v>130076.001386131</v>
      </c>
      <c r="S201" s="2">
        <v>51.557662999999998</v>
      </c>
      <c r="U201" s="2">
        <v>6</v>
      </c>
      <c r="V201" s="2">
        <v>132677.283860895</v>
      </c>
      <c r="W201" s="2">
        <v>50.238534000000001</v>
      </c>
    </row>
    <row r="202" spans="1:24" x14ac:dyDescent="0.35">
      <c r="A202" s="2">
        <v>7</v>
      </c>
      <c r="B202" s="2">
        <v>119013.754692584</v>
      </c>
      <c r="C202" s="2">
        <v>2155.8911349999998</v>
      </c>
      <c r="E202" s="2">
        <v>7</v>
      </c>
      <c r="F202" s="2">
        <v>119391.65004622799</v>
      </c>
      <c r="G202" s="2">
        <v>2219.3219119999999</v>
      </c>
      <c r="I202" s="2">
        <v>7</v>
      </c>
      <c r="J202" s="2">
        <v>130125.84256096699</v>
      </c>
      <c r="K202" s="2">
        <v>51.540872</v>
      </c>
      <c r="M202" s="2">
        <v>7</v>
      </c>
      <c r="N202" s="2">
        <v>128494.342273631</v>
      </c>
      <c r="O202" s="2">
        <v>3125.05573</v>
      </c>
      <c r="Q202" s="2">
        <v>7</v>
      </c>
      <c r="R202" s="2">
        <v>128878.335446187</v>
      </c>
      <c r="S202" s="2">
        <v>51.511360000000003</v>
      </c>
      <c r="U202" s="2">
        <v>7</v>
      </c>
      <c r="V202" s="2">
        <v>135975.20735013901</v>
      </c>
      <c r="W202" s="2">
        <v>51.277371000000002</v>
      </c>
    </row>
    <row r="203" spans="1:24" x14ac:dyDescent="0.35">
      <c r="A203" s="2">
        <v>8</v>
      </c>
      <c r="B203" s="2">
        <v>119789.400176795</v>
      </c>
      <c r="C203" s="2">
        <v>2181.1662649999998</v>
      </c>
      <c r="E203" s="2">
        <v>8</v>
      </c>
      <c r="F203" s="2">
        <v>119163.27509360301</v>
      </c>
      <c r="G203" s="2">
        <v>2213.6367770000002</v>
      </c>
      <c r="I203" s="2">
        <v>8</v>
      </c>
      <c r="J203" s="2">
        <v>141611.663774913</v>
      </c>
      <c r="K203" s="2">
        <v>49.825088999999998</v>
      </c>
      <c r="M203" s="2">
        <v>8</v>
      </c>
      <c r="N203" s="2">
        <v>127076.81407665899</v>
      </c>
      <c r="O203" s="2">
        <v>3114.9311499999999</v>
      </c>
      <c r="Q203" s="2">
        <v>8</v>
      </c>
      <c r="R203" s="2">
        <v>135202.11836759001</v>
      </c>
      <c r="S203" s="2">
        <v>52.283292000000003</v>
      </c>
      <c r="U203" s="2">
        <v>8</v>
      </c>
      <c r="V203" s="2">
        <v>139363.949136357</v>
      </c>
      <c r="W203" s="2">
        <v>51.135395000000003</v>
      </c>
    </row>
    <row r="204" spans="1:24" x14ac:dyDescent="0.35">
      <c r="A204" s="2">
        <v>9</v>
      </c>
      <c r="B204" s="2">
        <v>119816.198122589</v>
      </c>
      <c r="C204" s="2">
        <v>2149.9644410000001</v>
      </c>
      <c r="E204" s="2">
        <v>9</v>
      </c>
      <c r="F204" s="2">
        <v>121244.628620794</v>
      </c>
      <c r="G204" s="2">
        <v>2210.686537</v>
      </c>
      <c r="I204" s="2">
        <v>9</v>
      </c>
      <c r="J204" s="2">
        <v>133599.825609436</v>
      </c>
      <c r="K204" s="2">
        <v>51.775030999999998</v>
      </c>
      <c r="M204" s="2">
        <v>9</v>
      </c>
      <c r="N204" s="2">
        <v>130303.976052731</v>
      </c>
      <c r="O204" s="2">
        <v>3100.494721</v>
      </c>
      <c r="Q204" s="2">
        <v>9</v>
      </c>
      <c r="R204" s="2">
        <v>130982.75149564299</v>
      </c>
      <c r="S204" s="2">
        <v>51.289527999999997</v>
      </c>
      <c r="U204" s="2">
        <v>9</v>
      </c>
      <c r="V204" s="2">
        <v>128980.654223158</v>
      </c>
      <c r="W204" s="2">
        <v>51.737001999999997</v>
      </c>
    </row>
    <row r="205" spans="1:24" x14ac:dyDescent="0.35">
      <c r="A205" s="2">
        <v>10</v>
      </c>
      <c r="B205" s="2">
        <v>120497.03013222</v>
      </c>
      <c r="C205" s="2">
        <v>2146.9752659999999</v>
      </c>
      <c r="E205" s="2">
        <v>10</v>
      </c>
      <c r="F205" s="2">
        <v>119163.729605352</v>
      </c>
      <c r="G205" s="2">
        <v>2215.387479</v>
      </c>
      <c r="I205" s="2">
        <v>10</v>
      </c>
      <c r="J205" s="2">
        <v>129728.58862890799</v>
      </c>
      <c r="K205" s="2">
        <v>51.094822999999998</v>
      </c>
      <c r="M205" s="2">
        <v>10</v>
      </c>
      <c r="N205" s="2">
        <v>124901.339489903</v>
      </c>
      <c r="O205" s="2">
        <v>3145.429952</v>
      </c>
      <c r="Q205" s="2">
        <v>10</v>
      </c>
      <c r="R205" s="2">
        <v>139468.66203790301</v>
      </c>
      <c r="S205" s="2">
        <v>51.939380999999997</v>
      </c>
      <c r="U205" s="2">
        <v>10</v>
      </c>
      <c r="V205" s="2">
        <v>142016.24038517501</v>
      </c>
      <c r="W205" s="2">
        <v>52.067627000000002</v>
      </c>
    </row>
    <row r="206" spans="1:24" x14ac:dyDescent="0.35">
      <c r="A206" s="2">
        <v>11</v>
      </c>
      <c r="B206" s="2">
        <v>120775.69868977201</v>
      </c>
      <c r="C206" s="2">
        <v>2188.8301970000002</v>
      </c>
      <c r="E206" s="2">
        <v>11</v>
      </c>
      <c r="F206" s="2">
        <v>120863.079706173</v>
      </c>
      <c r="G206" s="2">
        <v>2230.749131</v>
      </c>
      <c r="I206" s="2">
        <v>11</v>
      </c>
      <c r="J206" s="2">
        <v>136204.162653343</v>
      </c>
      <c r="K206" s="2">
        <v>51.525421999999999</v>
      </c>
      <c r="M206" s="2">
        <v>11</v>
      </c>
      <c r="N206" s="2">
        <v>128654.74096703299</v>
      </c>
      <c r="O206" s="2">
        <v>3134.3463550000001</v>
      </c>
      <c r="Q206" s="2">
        <v>11</v>
      </c>
      <c r="R206" s="2">
        <v>129710.530078817</v>
      </c>
      <c r="S206" s="2">
        <v>50.240952</v>
      </c>
      <c r="U206" s="2">
        <v>11</v>
      </c>
      <c r="V206" s="2">
        <v>137363.410632799</v>
      </c>
      <c r="W206" s="2">
        <v>48.160808000000003</v>
      </c>
    </row>
    <row r="207" spans="1:24" x14ac:dyDescent="0.35">
      <c r="A207" s="2">
        <v>12</v>
      </c>
      <c r="B207" s="2">
        <v>119745.45891903801</v>
      </c>
      <c r="C207" s="2">
        <v>2133.2944729999999</v>
      </c>
      <c r="E207" s="2">
        <v>12</v>
      </c>
      <c r="F207" s="2">
        <v>120883.107256307</v>
      </c>
      <c r="G207" s="2">
        <v>2223.2259509999999</v>
      </c>
      <c r="I207" s="2">
        <v>12</v>
      </c>
      <c r="J207" s="2">
        <v>136910.322464039</v>
      </c>
      <c r="K207" s="2">
        <v>51.059099000000003</v>
      </c>
      <c r="M207" s="2">
        <v>12</v>
      </c>
      <c r="N207" s="2">
        <v>125835.50954368</v>
      </c>
      <c r="O207" s="2">
        <v>3143.6527679999999</v>
      </c>
      <c r="Q207" s="2">
        <v>12</v>
      </c>
      <c r="R207" s="2">
        <v>128449.571468341</v>
      </c>
      <c r="S207" s="2">
        <v>51.061912</v>
      </c>
      <c r="U207" s="2">
        <v>12</v>
      </c>
      <c r="V207" s="2">
        <v>136330.199118191</v>
      </c>
      <c r="W207" s="2">
        <v>51.046990000000001</v>
      </c>
    </row>
    <row r="208" spans="1:24" x14ac:dyDescent="0.35">
      <c r="A208" s="2">
        <v>13</v>
      </c>
      <c r="B208" s="2">
        <v>119320.028298747</v>
      </c>
      <c r="C208" s="2">
        <v>2146.1172019999999</v>
      </c>
      <c r="E208" s="2">
        <v>13</v>
      </c>
      <c r="F208" s="2">
        <v>121645.97876882899</v>
      </c>
      <c r="G208" s="2">
        <v>2211.7908910000001</v>
      </c>
      <c r="I208" s="2">
        <v>13</v>
      </c>
      <c r="J208" s="2">
        <v>139877.76015924299</v>
      </c>
      <c r="K208" s="2">
        <v>52.097501000000001</v>
      </c>
      <c r="M208" s="2">
        <v>13</v>
      </c>
      <c r="N208" s="2">
        <v>126076.642606094</v>
      </c>
      <c r="O208" s="2">
        <v>3140.4938029999998</v>
      </c>
      <c r="Q208" s="2">
        <v>13</v>
      </c>
      <c r="R208" s="2">
        <v>131628.76416642201</v>
      </c>
      <c r="S208" s="2">
        <v>52.177112999999999</v>
      </c>
      <c r="U208" s="2">
        <v>13</v>
      </c>
      <c r="V208" s="2">
        <v>142897.14062223499</v>
      </c>
      <c r="W208" s="2">
        <v>51.846457999999998</v>
      </c>
    </row>
    <row r="209" spans="1:24" x14ac:dyDescent="0.35">
      <c r="A209" s="2">
        <v>14</v>
      </c>
      <c r="B209" s="2">
        <v>119852.840834124</v>
      </c>
      <c r="C209" s="2">
        <v>2134.159279</v>
      </c>
      <c r="E209" s="2">
        <v>14</v>
      </c>
      <c r="F209" s="2">
        <v>119657.747800834</v>
      </c>
      <c r="G209" s="2">
        <v>2215.1152670000001</v>
      </c>
      <c r="I209" s="2">
        <v>14</v>
      </c>
      <c r="J209" s="2">
        <v>136221.062988702</v>
      </c>
      <c r="K209" s="2">
        <v>52.278385999999998</v>
      </c>
      <c r="M209" s="2">
        <v>14</v>
      </c>
      <c r="N209" s="2">
        <v>131571.50014962099</v>
      </c>
      <c r="O209" s="2">
        <v>3094.4267580000001</v>
      </c>
      <c r="Q209" s="2">
        <v>14</v>
      </c>
      <c r="R209" s="2">
        <v>130902.695057843</v>
      </c>
      <c r="S209" s="2">
        <v>52.507362999999998</v>
      </c>
      <c r="U209" s="2">
        <v>14</v>
      </c>
      <c r="V209" s="2">
        <v>137475.119276179</v>
      </c>
      <c r="W209" s="2">
        <v>49.923748000000003</v>
      </c>
    </row>
    <row r="210" spans="1:24" x14ac:dyDescent="0.35">
      <c r="A210" s="2">
        <v>15</v>
      </c>
      <c r="B210" s="2">
        <v>119907.437934599</v>
      </c>
      <c r="C210" s="2">
        <v>2141.9618340000002</v>
      </c>
      <c r="E210" s="2">
        <v>15</v>
      </c>
      <c r="F210" s="2">
        <v>121488.141273029</v>
      </c>
      <c r="G210" s="2">
        <v>2185.7244810000002</v>
      </c>
      <c r="I210" s="2">
        <v>15</v>
      </c>
      <c r="J210" s="2">
        <v>133880.951739643</v>
      </c>
      <c r="K210" s="2">
        <v>50.321617000000003</v>
      </c>
      <c r="M210" s="2">
        <v>15</v>
      </c>
      <c r="N210" s="2">
        <v>126843.644203883</v>
      </c>
      <c r="O210" s="2">
        <v>3125.040618</v>
      </c>
      <c r="Q210" s="2">
        <v>15</v>
      </c>
      <c r="R210" s="2">
        <v>135829.14697844099</v>
      </c>
      <c r="S210" s="2">
        <v>51.256554000000001</v>
      </c>
      <c r="U210" s="2">
        <v>15</v>
      </c>
      <c r="V210" s="2">
        <v>136463.332215337</v>
      </c>
      <c r="W210" s="2">
        <v>51.887858000000001</v>
      </c>
    </row>
    <row r="211" spans="1:24" x14ac:dyDescent="0.35">
      <c r="A211" s="2">
        <v>16</v>
      </c>
      <c r="B211" s="2">
        <v>119817.370329892</v>
      </c>
      <c r="C211" s="2">
        <v>2158.544969</v>
      </c>
      <c r="E211" s="2">
        <v>16</v>
      </c>
      <c r="F211" s="2">
        <v>120463.23711832</v>
      </c>
      <c r="G211" s="2">
        <v>2197.6207079999999</v>
      </c>
      <c r="I211" s="2">
        <v>16</v>
      </c>
      <c r="J211" s="2">
        <v>133362.647636679</v>
      </c>
      <c r="K211" s="2">
        <v>51.019632999999999</v>
      </c>
      <c r="M211" s="2">
        <v>16</v>
      </c>
      <c r="N211" s="2">
        <v>126115.60845514599</v>
      </c>
      <c r="O211" s="2">
        <v>3096.3364000000001</v>
      </c>
      <c r="Q211" s="2">
        <v>16</v>
      </c>
      <c r="R211" s="2">
        <v>134495.829017096</v>
      </c>
      <c r="S211" s="2">
        <v>51.712840999999997</v>
      </c>
      <c r="U211" s="2">
        <v>16</v>
      </c>
      <c r="V211" s="2">
        <v>136831.694710738</v>
      </c>
      <c r="W211" s="2">
        <v>51.533112000000003</v>
      </c>
    </row>
    <row r="212" spans="1:24" x14ac:dyDescent="0.35">
      <c r="A212" s="2">
        <v>17</v>
      </c>
      <c r="B212" s="2">
        <v>119751.58071263001</v>
      </c>
      <c r="C212" s="2">
        <v>2148.8410279999998</v>
      </c>
      <c r="E212" s="2">
        <v>17</v>
      </c>
      <c r="F212" s="2">
        <v>120948.408320603</v>
      </c>
      <c r="G212" s="2">
        <v>2207.8074900000001</v>
      </c>
      <c r="I212" s="2">
        <v>17</v>
      </c>
      <c r="J212" s="2">
        <v>139730.124588537</v>
      </c>
      <c r="K212" s="2">
        <v>52.517997999999999</v>
      </c>
      <c r="M212" s="2">
        <v>17</v>
      </c>
      <c r="N212" s="2">
        <v>127165.417645347</v>
      </c>
      <c r="O212" s="2">
        <v>3062.7868629999998</v>
      </c>
      <c r="Q212" s="2">
        <v>17</v>
      </c>
      <c r="R212" s="2">
        <v>138320.72844490001</v>
      </c>
      <c r="S212" s="2">
        <v>51.190724000000003</v>
      </c>
      <c r="U212" s="2">
        <v>17</v>
      </c>
      <c r="V212" s="2">
        <v>131923.71085846401</v>
      </c>
      <c r="W212" s="2">
        <v>51.190708000000001</v>
      </c>
    </row>
    <row r="213" spans="1:24" x14ac:dyDescent="0.35">
      <c r="A213" s="2">
        <v>18</v>
      </c>
      <c r="B213" s="2">
        <v>119862.400599591</v>
      </c>
      <c r="C213" s="2">
        <v>2157.318831</v>
      </c>
      <c r="E213" s="2">
        <v>18</v>
      </c>
      <c r="F213" s="2">
        <v>119889.571137779</v>
      </c>
      <c r="G213" s="2">
        <v>2215.5245949999999</v>
      </c>
      <c r="I213" s="2">
        <v>18</v>
      </c>
      <c r="J213" s="2">
        <v>128056.481138958</v>
      </c>
      <c r="K213" s="2">
        <v>51.593359</v>
      </c>
      <c r="M213" s="2">
        <v>18</v>
      </c>
      <c r="N213" s="2">
        <v>128328.53593623301</v>
      </c>
      <c r="O213" s="2">
        <v>3129.847174</v>
      </c>
      <c r="Q213" s="2">
        <v>18</v>
      </c>
      <c r="R213" s="2">
        <v>132001.16749241299</v>
      </c>
      <c r="S213" s="2">
        <v>52.278922000000001</v>
      </c>
      <c r="U213" s="2">
        <v>18</v>
      </c>
      <c r="V213" s="2">
        <v>130851.645740049</v>
      </c>
      <c r="W213" s="2">
        <v>52.249529000000003</v>
      </c>
    </row>
    <row r="214" spans="1:24" x14ac:dyDescent="0.35">
      <c r="A214" s="2">
        <v>19</v>
      </c>
      <c r="B214" s="2">
        <v>119998.353383931</v>
      </c>
      <c r="C214" s="2">
        <v>2162.0955629999999</v>
      </c>
      <c r="E214" s="2">
        <v>19</v>
      </c>
      <c r="F214" s="2">
        <v>121112.801954421</v>
      </c>
      <c r="G214" s="2">
        <v>2228.0653069999998</v>
      </c>
      <c r="I214" s="2">
        <v>19</v>
      </c>
      <c r="J214" s="2">
        <v>139162.950566196</v>
      </c>
      <c r="K214" s="2">
        <v>52.344316999999997</v>
      </c>
      <c r="M214" s="2">
        <v>19</v>
      </c>
      <c r="N214" s="2">
        <v>130701.856494901</v>
      </c>
      <c r="O214" s="2">
        <v>3125.3411070000002</v>
      </c>
      <c r="Q214" s="2">
        <v>19</v>
      </c>
      <c r="R214" s="2">
        <v>139700.424242515</v>
      </c>
      <c r="S214" s="2">
        <v>48.110441999999999</v>
      </c>
      <c r="U214" s="2">
        <v>19</v>
      </c>
      <c r="V214" s="2">
        <v>130151.613033381</v>
      </c>
      <c r="W214" s="2">
        <v>51.621884999999999</v>
      </c>
    </row>
    <row r="215" spans="1:24" x14ac:dyDescent="0.35">
      <c r="A215" s="2">
        <v>20</v>
      </c>
      <c r="B215" s="2">
        <v>122175.44517152599</v>
      </c>
      <c r="C215" s="2">
        <v>2126.2116310000001</v>
      </c>
      <c r="E215" s="2">
        <v>20</v>
      </c>
      <c r="F215" s="2">
        <v>119916.609626747</v>
      </c>
      <c r="G215" s="2">
        <v>2215.5320700000002</v>
      </c>
      <c r="I215" s="2">
        <v>20</v>
      </c>
      <c r="J215" s="2">
        <v>141729.28406534501</v>
      </c>
      <c r="K215" s="2">
        <v>50.409838000000001</v>
      </c>
      <c r="M215" s="2">
        <v>20</v>
      </c>
      <c r="N215" s="2">
        <v>122551.689027727</v>
      </c>
      <c r="O215" s="2">
        <v>3114.7684089999998</v>
      </c>
      <c r="Q215" s="2">
        <v>20</v>
      </c>
      <c r="R215" s="2">
        <v>138180.02329211199</v>
      </c>
      <c r="S215" s="2">
        <v>50.299855000000001</v>
      </c>
      <c r="U215" s="2">
        <v>20</v>
      </c>
      <c r="V215" s="2">
        <v>134862.660337065</v>
      </c>
      <c r="W215" s="2">
        <v>50.35078</v>
      </c>
    </row>
    <row r="216" spans="1:24" x14ac:dyDescent="0.35">
      <c r="A216" s="2" t="s">
        <v>19</v>
      </c>
      <c r="B216" s="3">
        <f>AVERAGE(B196:B215)</f>
        <v>120142.74144831051</v>
      </c>
      <c r="C216" s="3">
        <f>AVERAGE(C196:C215)</f>
        <v>2155.0262288000004</v>
      </c>
      <c r="F216" s="3">
        <f>AVERAGE(F196:F215)</f>
        <v>120479.00241207848</v>
      </c>
      <c r="G216" s="3">
        <f>AVERAGE(G196:G215)</f>
        <v>2212.6960135500003</v>
      </c>
      <c r="H216" s="3"/>
      <c r="J216" s="3">
        <f>AVERAGE(J196:J215)</f>
        <v>136255.89758314003</v>
      </c>
      <c r="K216" s="3">
        <f>AVERAGE(K196:K215)</f>
        <v>51.353441249999989</v>
      </c>
      <c r="L216" s="3"/>
      <c r="N216" s="3">
        <f>AVERAGE(N196:N215)</f>
        <v>126653.06876090236</v>
      </c>
      <c r="O216" s="3">
        <f>AVERAGE(O196:O215)</f>
        <v>3120.2623744999996</v>
      </c>
      <c r="P216" s="3"/>
      <c r="R216" s="3">
        <f>AVERAGE(R196:R215)</f>
        <v>133856.11216545309</v>
      </c>
      <c r="S216" s="3">
        <f>AVERAGE(S196:S215)</f>
        <v>51.338905200000013</v>
      </c>
      <c r="T216" s="3"/>
      <c r="V216" s="3">
        <f>AVERAGE(V196:V215)</f>
        <v>135828.17819542089</v>
      </c>
      <c r="W216" s="3">
        <f>AVERAGE(W196:W215)</f>
        <v>51.086558400000015</v>
      </c>
      <c r="X216" s="3"/>
    </row>
    <row r="217" spans="1:24" x14ac:dyDescent="0.35">
      <c r="A217" s="2" t="s">
        <v>36</v>
      </c>
      <c r="B217" s="2" cm="1">
        <f t="array" ref="B217">[1]!SignTest(B196:B215,F196:F215,2)</f>
        <v>0.26317596435546897</v>
      </c>
      <c r="C217" s="2" cm="1">
        <f t="array" ref="C217">[1]!SignTest(C196:C215,G196:G215,2)</f>
        <v>1.9073486328125E-6</v>
      </c>
    </row>
    <row r="218" spans="1:24" ht="21" x14ac:dyDescent="0.5">
      <c r="A218" s="10" t="s">
        <v>9</v>
      </c>
      <c r="B218" s="10"/>
      <c r="C218" s="10"/>
      <c r="E218" s="10" t="s">
        <v>9</v>
      </c>
      <c r="F218" s="10"/>
      <c r="G218" s="10"/>
      <c r="H218" s="1"/>
      <c r="I218" s="10" t="s">
        <v>9</v>
      </c>
      <c r="J218" s="10"/>
      <c r="K218" s="10"/>
      <c r="L218" s="1"/>
      <c r="M218" s="10" t="s">
        <v>9</v>
      </c>
      <c r="N218" s="10"/>
      <c r="O218" s="10"/>
      <c r="P218" s="1"/>
      <c r="Q218" s="10" t="s">
        <v>9</v>
      </c>
      <c r="R218" s="10"/>
      <c r="S218" s="10"/>
      <c r="T218" s="1"/>
      <c r="U218" s="10" t="s">
        <v>9</v>
      </c>
      <c r="V218" s="10"/>
      <c r="W218" s="10"/>
      <c r="X218" s="1"/>
    </row>
    <row r="219" spans="1:24" x14ac:dyDescent="0.35">
      <c r="A219" s="2" t="s">
        <v>15</v>
      </c>
      <c r="B219" s="2" t="s">
        <v>16</v>
      </c>
      <c r="C219" s="2" t="s">
        <v>17</v>
      </c>
      <c r="E219" s="2" t="s">
        <v>15</v>
      </c>
      <c r="F219" s="2" t="s">
        <v>16</v>
      </c>
      <c r="G219" s="2" t="s">
        <v>17</v>
      </c>
      <c r="I219" s="2" t="s">
        <v>15</v>
      </c>
      <c r="J219" s="2" t="s">
        <v>16</v>
      </c>
      <c r="K219" s="2" t="s">
        <v>17</v>
      </c>
      <c r="M219" s="2" t="s">
        <v>15</v>
      </c>
      <c r="N219" s="2" t="s">
        <v>16</v>
      </c>
      <c r="O219" s="2" t="s">
        <v>17</v>
      </c>
      <c r="Q219" s="2" t="s">
        <v>15</v>
      </c>
      <c r="R219" s="2" t="s">
        <v>16</v>
      </c>
      <c r="S219" s="2" t="s">
        <v>17</v>
      </c>
      <c r="U219" s="2" t="s">
        <v>15</v>
      </c>
      <c r="V219" s="2" t="s">
        <v>16</v>
      </c>
      <c r="W219" s="2" t="s">
        <v>17</v>
      </c>
    </row>
    <row r="220" spans="1:24" x14ac:dyDescent="0.35">
      <c r="A220" s="2">
        <v>1</v>
      </c>
      <c r="B220" s="2">
        <v>6305.5476782978103</v>
      </c>
      <c r="C220" s="2">
        <v>1921.6394439999999</v>
      </c>
      <c r="E220" s="2">
        <v>1</v>
      </c>
      <c r="F220" s="2">
        <v>6183.1116793987403</v>
      </c>
      <c r="G220" s="2">
        <v>2137.9691240000002</v>
      </c>
      <c r="I220" s="2">
        <v>1</v>
      </c>
      <c r="J220" s="2">
        <v>7091.4953577838096</v>
      </c>
      <c r="K220" s="2">
        <v>53.693432000000001</v>
      </c>
      <c r="M220" s="2">
        <v>1</v>
      </c>
      <c r="N220" s="2">
        <v>6540.8429350121796</v>
      </c>
      <c r="O220" s="2">
        <v>2885.8768970000001</v>
      </c>
      <c r="Q220" s="2">
        <v>1</v>
      </c>
      <c r="R220" s="2">
        <v>7602.1355217348</v>
      </c>
      <c r="S220" s="2">
        <v>53.831457999999998</v>
      </c>
      <c r="U220" s="2">
        <v>1</v>
      </c>
      <c r="V220" s="2">
        <v>7064.04759208617</v>
      </c>
      <c r="W220" s="2">
        <v>52.263700999999998</v>
      </c>
    </row>
    <row r="221" spans="1:24" x14ac:dyDescent="0.35">
      <c r="A221" s="2">
        <v>2</v>
      </c>
      <c r="B221" s="2">
        <v>6303.0933552103397</v>
      </c>
      <c r="C221" s="2">
        <v>1930.4067930000001</v>
      </c>
      <c r="E221" s="2">
        <v>2</v>
      </c>
      <c r="F221" s="2">
        <v>6325.76603658575</v>
      </c>
      <c r="G221" s="2">
        <v>2135.9871229999999</v>
      </c>
      <c r="I221" s="2">
        <v>2</v>
      </c>
      <c r="J221" s="2">
        <v>7063.5755318759502</v>
      </c>
      <c r="K221" s="2">
        <v>53.837462000000002</v>
      </c>
      <c r="M221" s="2">
        <v>2</v>
      </c>
      <c r="N221" s="2">
        <v>6373.23324168013</v>
      </c>
      <c r="O221" s="2">
        <v>2887.9451079999999</v>
      </c>
      <c r="Q221" s="2">
        <v>2</v>
      </c>
      <c r="R221" s="2">
        <v>7673.1165674592603</v>
      </c>
      <c r="S221" s="2">
        <v>54.548482</v>
      </c>
      <c r="U221" s="2">
        <v>2</v>
      </c>
      <c r="V221" s="2">
        <v>7627.8216140343902</v>
      </c>
      <c r="W221" s="2">
        <v>54.332116999999997</v>
      </c>
    </row>
    <row r="222" spans="1:24" x14ac:dyDescent="0.35">
      <c r="A222" s="2">
        <v>3</v>
      </c>
      <c r="B222" s="2">
        <v>6233.29802990604</v>
      </c>
      <c r="C222" s="2">
        <v>1921.4858549999999</v>
      </c>
      <c r="E222" s="2">
        <v>3</v>
      </c>
      <c r="F222" s="2">
        <v>6199.9912539716697</v>
      </c>
      <c r="G222" s="2">
        <v>2108.3972680000002</v>
      </c>
      <c r="I222" s="2">
        <v>3</v>
      </c>
      <c r="J222" s="2">
        <v>7257.8305654311698</v>
      </c>
      <c r="K222" s="2">
        <v>54.288986000000001</v>
      </c>
      <c r="M222" s="2">
        <v>3</v>
      </c>
      <c r="N222" s="2">
        <v>6365.2230882274398</v>
      </c>
      <c r="O222" s="2">
        <v>2902.3698079999999</v>
      </c>
      <c r="Q222" s="2">
        <v>3</v>
      </c>
      <c r="R222" s="2">
        <v>7690.03024234635</v>
      </c>
      <c r="S222" s="2">
        <v>54.252859999999998</v>
      </c>
      <c r="U222" s="2">
        <v>3</v>
      </c>
      <c r="V222" s="2">
        <v>6891.4316714378101</v>
      </c>
      <c r="W222" s="2">
        <v>53.791415000000001</v>
      </c>
    </row>
    <row r="223" spans="1:24" x14ac:dyDescent="0.35">
      <c r="A223" s="2">
        <v>4</v>
      </c>
      <c r="B223" s="2">
        <v>6323.9467151177696</v>
      </c>
      <c r="C223" s="2">
        <v>1929.2645849999999</v>
      </c>
      <c r="E223" s="2">
        <v>4</v>
      </c>
      <c r="F223" s="2">
        <v>6231.3023953260699</v>
      </c>
      <c r="G223" s="2">
        <v>2122.7133779999999</v>
      </c>
      <c r="I223" s="2">
        <v>4</v>
      </c>
      <c r="J223" s="2">
        <v>7042.9745799973998</v>
      </c>
      <c r="K223" s="2">
        <v>54.101793999999998</v>
      </c>
      <c r="M223" s="2">
        <v>4</v>
      </c>
      <c r="N223" s="2">
        <v>6471.2271669872998</v>
      </c>
      <c r="O223" s="2">
        <v>2876.8285329999999</v>
      </c>
      <c r="Q223" s="2">
        <v>4</v>
      </c>
      <c r="R223" s="2">
        <v>7370.9726545803696</v>
      </c>
      <c r="S223" s="2">
        <v>52.575808000000002</v>
      </c>
      <c r="U223" s="2">
        <v>4</v>
      </c>
      <c r="V223" s="2">
        <v>7011.3283517970503</v>
      </c>
      <c r="W223" s="2">
        <v>53.012341999999997</v>
      </c>
    </row>
    <row r="224" spans="1:24" x14ac:dyDescent="0.35">
      <c r="A224" s="2">
        <v>5</v>
      </c>
      <c r="B224" s="2">
        <v>6304.6643629099499</v>
      </c>
      <c r="C224" s="2">
        <v>1905.894266</v>
      </c>
      <c r="E224" s="2">
        <v>5</v>
      </c>
      <c r="F224" s="2">
        <v>6257.72877160188</v>
      </c>
      <c r="G224" s="2">
        <v>2144.0725739999998</v>
      </c>
      <c r="I224" s="2">
        <v>5</v>
      </c>
      <c r="J224" s="2">
        <v>6788.8550120335804</v>
      </c>
      <c r="K224" s="2">
        <v>53.793505000000003</v>
      </c>
      <c r="M224" s="2">
        <v>5</v>
      </c>
      <c r="N224" s="2">
        <v>6238.4254478825596</v>
      </c>
      <c r="O224" s="2">
        <v>2921.852891</v>
      </c>
      <c r="Q224" s="2">
        <v>5</v>
      </c>
      <c r="R224" s="2">
        <v>7399.5936730708099</v>
      </c>
      <c r="S224" s="2">
        <v>54.511313000000001</v>
      </c>
      <c r="U224" s="2">
        <v>5</v>
      </c>
      <c r="V224" s="2">
        <v>7291.9510413097996</v>
      </c>
      <c r="W224" s="2">
        <v>54.232812000000003</v>
      </c>
    </row>
    <row r="225" spans="1:24" x14ac:dyDescent="0.35">
      <c r="A225" s="2">
        <v>6</v>
      </c>
      <c r="B225" s="2">
        <v>6201.37701918329</v>
      </c>
      <c r="C225" s="2">
        <v>1917.433945</v>
      </c>
      <c r="E225" s="2">
        <v>6</v>
      </c>
      <c r="F225" s="2">
        <v>6328.9666848883498</v>
      </c>
      <c r="G225" s="2">
        <v>2117.7934599999999</v>
      </c>
      <c r="I225" s="2">
        <v>6</v>
      </c>
      <c r="J225" s="2">
        <v>7308.9503475850297</v>
      </c>
      <c r="K225" s="2">
        <v>53.767211000000003</v>
      </c>
      <c r="M225" s="2">
        <v>6</v>
      </c>
      <c r="N225" s="2">
        <v>6951.8939880697699</v>
      </c>
      <c r="O225" s="2">
        <v>2900.118974</v>
      </c>
      <c r="Q225" s="2">
        <v>6</v>
      </c>
      <c r="R225" s="2">
        <v>7368.9405183553599</v>
      </c>
      <c r="S225" s="2">
        <v>53.910874</v>
      </c>
      <c r="U225" s="2">
        <v>6</v>
      </c>
      <c r="V225" s="2">
        <v>7242.6330216183997</v>
      </c>
      <c r="W225" s="2">
        <v>53.863520999999999</v>
      </c>
    </row>
    <row r="226" spans="1:24" x14ac:dyDescent="0.35">
      <c r="A226" s="2">
        <v>7</v>
      </c>
      <c r="B226" s="2">
        <v>6259.3233507469104</v>
      </c>
      <c r="C226" s="2">
        <v>1920.5110520000001</v>
      </c>
      <c r="E226" s="2">
        <v>7</v>
      </c>
      <c r="F226" s="2">
        <v>6252.4838750089502</v>
      </c>
      <c r="G226" s="2">
        <v>2148.5265340000001</v>
      </c>
      <c r="I226" s="2">
        <v>7</v>
      </c>
      <c r="J226" s="2">
        <v>6875.8990828721098</v>
      </c>
      <c r="K226" s="2">
        <v>53.159585</v>
      </c>
      <c r="M226" s="2">
        <v>7</v>
      </c>
      <c r="N226" s="2">
        <v>6968.1955544662696</v>
      </c>
      <c r="O226" s="2">
        <v>2926.3068490000001</v>
      </c>
      <c r="Q226" s="2">
        <v>7</v>
      </c>
      <c r="R226" s="2">
        <v>7044.3772148259404</v>
      </c>
      <c r="S226" s="2">
        <v>51.339751999999997</v>
      </c>
      <c r="U226" s="2">
        <v>7</v>
      </c>
      <c r="V226" s="2">
        <v>7549.8956965376401</v>
      </c>
      <c r="W226" s="2">
        <v>52.225389999999997</v>
      </c>
    </row>
    <row r="227" spans="1:24" x14ac:dyDescent="0.35">
      <c r="A227" s="2">
        <v>8</v>
      </c>
      <c r="B227" s="2">
        <v>6240.1603627862996</v>
      </c>
      <c r="C227" s="2">
        <v>1939.267613</v>
      </c>
      <c r="E227" s="2">
        <v>8</v>
      </c>
      <c r="F227" s="2">
        <v>6431.9622475524902</v>
      </c>
      <c r="G227" s="2">
        <v>2149.8213409999998</v>
      </c>
      <c r="I227" s="2">
        <v>8</v>
      </c>
      <c r="J227" s="2">
        <v>7251.7448583453497</v>
      </c>
      <c r="K227" s="2">
        <v>52.369880999999999</v>
      </c>
      <c r="M227" s="2">
        <v>8</v>
      </c>
      <c r="N227" s="2">
        <v>6600.5062142960296</v>
      </c>
      <c r="O227" s="2">
        <v>2843.3248090000002</v>
      </c>
      <c r="Q227" s="2">
        <v>8</v>
      </c>
      <c r="R227" s="2">
        <v>7266.1441051398397</v>
      </c>
      <c r="S227" s="2">
        <v>54.496478000000003</v>
      </c>
      <c r="U227" s="2">
        <v>8</v>
      </c>
      <c r="V227" s="2">
        <v>6956.4745914647501</v>
      </c>
      <c r="W227" s="2">
        <v>52.348967999999999</v>
      </c>
    </row>
    <row r="228" spans="1:24" x14ac:dyDescent="0.35">
      <c r="A228" s="2">
        <v>9</v>
      </c>
      <c r="B228" s="2">
        <v>6206.7294231887799</v>
      </c>
      <c r="C228" s="2">
        <v>1898.437404</v>
      </c>
      <c r="E228" s="2">
        <v>9</v>
      </c>
      <c r="F228" s="2">
        <v>6231.7394086119202</v>
      </c>
      <c r="G228" s="2">
        <v>2122.9161779999999</v>
      </c>
      <c r="I228" s="2">
        <v>9</v>
      </c>
      <c r="J228" s="2">
        <v>7425.7662187876704</v>
      </c>
      <c r="K228" s="2">
        <v>54.160353999999998</v>
      </c>
      <c r="M228" s="2">
        <v>9</v>
      </c>
      <c r="N228" s="2">
        <v>6496.7073331008396</v>
      </c>
      <c r="O228" s="2">
        <v>2877.7387680000002</v>
      </c>
      <c r="Q228" s="2">
        <v>9</v>
      </c>
      <c r="R228" s="2">
        <v>6910.0569081419999</v>
      </c>
      <c r="S228" s="2">
        <v>53.898370999999997</v>
      </c>
      <c r="U228" s="2">
        <v>9</v>
      </c>
      <c r="V228" s="2">
        <v>7377.1166120507296</v>
      </c>
      <c r="W228" s="2">
        <v>53.792192</v>
      </c>
    </row>
    <row r="229" spans="1:24" x14ac:dyDescent="0.35">
      <c r="A229" s="2">
        <v>10</v>
      </c>
      <c r="B229" s="2">
        <v>6219.95612951152</v>
      </c>
      <c r="C229" s="2">
        <v>1903.001432</v>
      </c>
      <c r="E229" s="2">
        <v>10</v>
      </c>
      <c r="F229" s="2">
        <v>6202.1038773970404</v>
      </c>
      <c r="G229" s="2">
        <v>2127.73234</v>
      </c>
      <c r="I229" s="2">
        <v>10</v>
      </c>
      <c r="J229" s="2">
        <v>6581.3860443253197</v>
      </c>
      <c r="K229" s="2">
        <v>53.676017999999999</v>
      </c>
      <c r="M229" s="2">
        <v>10</v>
      </c>
      <c r="N229" s="2">
        <v>6327.4960807301804</v>
      </c>
      <c r="O229" s="2">
        <v>2932.8117440000001</v>
      </c>
      <c r="Q229" s="2">
        <v>10</v>
      </c>
      <c r="R229" s="2">
        <v>7554.4744566104</v>
      </c>
      <c r="S229" s="2">
        <v>53.885914</v>
      </c>
      <c r="U229" s="2">
        <v>10</v>
      </c>
      <c r="V229" s="2">
        <v>7259.4187793846504</v>
      </c>
      <c r="W229" s="2">
        <v>53.376992000000001</v>
      </c>
    </row>
    <row r="230" spans="1:24" x14ac:dyDescent="0.35">
      <c r="A230" s="2">
        <v>11</v>
      </c>
      <c r="B230" s="2">
        <v>6405.3509698829803</v>
      </c>
      <c r="C230" s="2">
        <v>1935.1902520000001</v>
      </c>
      <c r="E230" s="2">
        <v>11</v>
      </c>
      <c r="F230" s="2">
        <v>6292.0134887899503</v>
      </c>
      <c r="G230" s="2">
        <v>2144.8166959999999</v>
      </c>
      <c r="I230" s="2">
        <v>11</v>
      </c>
      <c r="J230" s="2">
        <v>7130.5018837307798</v>
      </c>
      <c r="K230" s="2">
        <v>55.170800999999997</v>
      </c>
      <c r="M230" s="2">
        <v>11</v>
      </c>
      <c r="N230" s="2">
        <v>6757.5798453800298</v>
      </c>
      <c r="O230" s="2">
        <v>2916.051931</v>
      </c>
      <c r="Q230" s="2">
        <v>11</v>
      </c>
      <c r="R230" s="2">
        <v>7155.4472838830698</v>
      </c>
      <c r="S230" s="2">
        <v>55.262019000000002</v>
      </c>
      <c r="U230" s="2">
        <v>11</v>
      </c>
      <c r="V230" s="2">
        <v>7578.1866754829698</v>
      </c>
      <c r="W230" s="2">
        <v>54.570203999999997</v>
      </c>
    </row>
    <row r="231" spans="1:24" x14ac:dyDescent="0.35">
      <c r="A231" s="2">
        <v>12</v>
      </c>
      <c r="B231" s="2">
        <v>6242.7834894897496</v>
      </c>
      <c r="C231" s="2">
        <v>1949.432194</v>
      </c>
      <c r="E231" s="2">
        <v>12</v>
      </c>
      <c r="F231" s="2">
        <v>6270.6927828836097</v>
      </c>
      <c r="G231" s="2">
        <v>2133.698394</v>
      </c>
      <c r="I231" s="2">
        <v>12</v>
      </c>
      <c r="J231" s="2">
        <v>7040.5164203846498</v>
      </c>
      <c r="K231" s="2">
        <v>54.132378000000003</v>
      </c>
      <c r="M231" s="2">
        <v>12</v>
      </c>
      <c r="N231" s="2">
        <v>6599.2455118614398</v>
      </c>
      <c r="O231" s="2">
        <v>2923.6292939999998</v>
      </c>
      <c r="Q231" s="2">
        <v>12</v>
      </c>
      <c r="R231" s="2">
        <v>7339.7335385863298</v>
      </c>
      <c r="S231" s="2">
        <v>55.004196</v>
      </c>
      <c r="U231" s="2">
        <v>12</v>
      </c>
      <c r="V231" s="2">
        <v>7199.4632789510097</v>
      </c>
      <c r="W231" s="2">
        <v>52.325505</v>
      </c>
    </row>
    <row r="232" spans="1:24" x14ac:dyDescent="0.35">
      <c r="A232" s="2">
        <v>13</v>
      </c>
      <c r="B232" s="2">
        <v>6266.1681281977599</v>
      </c>
      <c r="C232" s="2">
        <v>1932.8774229999999</v>
      </c>
      <c r="E232" s="2">
        <v>13</v>
      </c>
      <c r="F232" s="2">
        <v>6247.9060980219301</v>
      </c>
      <c r="G232" s="2">
        <v>2118.4327069999999</v>
      </c>
      <c r="I232" s="2">
        <v>13</v>
      </c>
      <c r="J232" s="2">
        <v>7012.1726262652701</v>
      </c>
      <c r="K232" s="2">
        <v>53.345694999999999</v>
      </c>
      <c r="M232" s="2">
        <v>13</v>
      </c>
      <c r="N232" s="2">
        <v>6355.1378133181597</v>
      </c>
      <c r="O232" s="2">
        <v>2864.6491030000002</v>
      </c>
      <c r="Q232" s="2">
        <v>13</v>
      </c>
      <c r="R232" s="2">
        <v>7456.0542184653696</v>
      </c>
      <c r="S232" s="2">
        <v>53.563462000000001</v>
      </c>
      <c r="U232" s="2">
        <v>13</v>
      </c>
      <c r="V232" s="2">
        <v>7473.7277363665999</v>
      </c>
      <c r="W232" s="2">
        <v>53.953294</v>
      </c>
    </row>
    <row r="233" spans="1:24" x14ac:dyDescent="0.35">
      <c r="A233" s="2">
        <v>14</v>
      </c>
      <c r="B233" s="2">
        <v>6189.5114546838804</v>
      </c>
      <c r="C233" s="2">
        <v>1942.805026</v>
      </c>
      <c r="E233" s="2">
        <v>14</v>
      </c>
      <c r="F233" s="2">
        <v>6259.982290035</v>
      </c>
      <c r="G233" s="2">
        <v>2140.3024620000001</v>
      </c>
      <c r="I233" s="2">
        <v>14</v>
      </c>
      <c r="J233" s="2">
        <v>6759.43793234636</v>
      </c>
      <c r="K233" s="2">
        <v>55.020708999999997</v>
      </c>
      <c r="M233" s="2">
        <v>14</v>
      </c>
      <c r="N233" s="2">
        <v>6517.4703487562401</v>
      </c>
      <c r="O233" s="2">
        <v>2912.67211</v>
      </c>
      <c r="Q233" s="2">
        <v>14</v>
      </c>
      <c r="R233" s="2">
        <v>7346.7837994909996</v>
      </c>
      <c r="S233" s="2">
        <v>52.644137000000001</v>
      </c>
      <c r="U233" s="2">
        <v>14</v>
      </c>
      <c r="V233" s="2">
        <v>7262.6643252223203</v>
      </c>
      <c r="W233" s="2">
        <v>53.600250000000003</v>
      </c>
    </row>
    <row r="234" spans="1:24" x14ac:dyDescent="0.35">
      <c r="A234" s="2">
        <v>15</v>
      </c>
      <c r="B234" s="2">
        <v>6289.0721674706601</v>
      </c>
      <c r="C234" s="2">
        <v>1934.931431</v>
      </c>
      <c r="E234" s="2">
        <v>15</v>
      </c>
      <c r="F234" s="2">
        <v>6191.1210585687104</v>
      </c>
      <c r="G234" s="2">
        <v>2154.073449</v>
      </c>
      <c r="I234" s="2">
        <v>15</v>
      </c>
      <c r="J234" s="2">
        <v>7001.5552714859004</v>
      </c>
      <c r="K234" s="2">
        <v>53.465141000000003</v>
      </c>
      <c r="M234" s="2">
        <v>15</v>
      </c>
      <c r="N234" s="2">
        <v>6626.0027444124898</v>
      </c>
      <c r="O234" s="2">
        <v>2895.4894690000001</v>
      </c>
      <c r="Q234" s="2">
        <v>15</v>
      </c>
      <c r="R234" s="2">
        <v>7409.5266196970797</v>
      </c>
      <c r="S234" s="2">
        <v>52.861963000000003</v>
      </c>
      <c r="U234" s="2">
        <v>15</v>
      </c>
      <c r="V234" s="2">
        <v>7183.42616006962</v>
      </c>
      <c r="W234" s="2">
        <v>53.242511</v>
      </c>
    </row>
    <row r="235" spans="1:24" x14ac:dyDescent="0.35">
      <c r="A235" s="2">
        <v>16</v>
      </c>
      <c r="B235" s="2">
        <v>6216.7047754998803</v>
      </c>
      <c r="C235" s="2">
        <v>1934.3533669999999</v>
      </c>
      <c r="E235" s="2">
        <v>16</v>
      </c>
      <c r="F235" s="2">
        <v>6278.2325138002097</v>
      </c>
      <c r="G235" s="2">
        <v>2132.5563189999998</v>
      </c>
      <c r="I235" s="2">
        <v>16</v>
      </c>
      <c r="J235" s="2">
        <v>6820.9817505123601</v>
      </c>
      <c r="K235" s="2">
        <v>53.669642000000003</v>
      </c>
      <c r="M235" s="2">
        <v>16</v>
      </c>
      <c r="N235" s="2">
        <v>6475.8814966884001</v>
      </c>
      <c r="O235" s="2">
        <v>2915.9479769999998</v>
      </c>
      <c r="Q235" s="2">
        <v>16</v>
      </c>
      <c r="R235" s="2">
        <v>7219.6957637176201</v>
      </c>
      <c r="S235" s="2">
        <v>53.883713</v>
      </c>
      <c r="U235" s="2">
        <v>16</v>
      </c>
      <c r="V235" s="2">
        <v>7546.1835473508499</v>
      </c>
      <c r="W235" s="2">
        <v>53.839025999999997</v>
      </c>
    </row>
    <row r="236" spans="1:24" x14ac:dyDescent="0.35">
      <c r="A236" s="2">
        <v>17</v>
      </c>
      <c r="B236" s="2">
        <v>6321.6120273869401</v>
      </c>
      <c r="C236" s="2">
        <v>1939.80512</v>
      </c>
      <c r="E236" s="2">
        <v>17</v>
      </c>
      <c r="F236" s="2">
        <v>6255.58471941673</v>
      </c>
      <c r="G236" s="2">
        <v>2140.3194490000001</v>
      </c>
      <c r="I236" s="2">
        <v>17</v>
      </c>
      <c r="J236" s="2">
        <v>6874.1090892166003</v>
      </c>
      <c r="K236" s="2">
        <v>54.695117000000003</v>
      </c>
      <c r="M236" s="2">
        <v>17</v>
      </c>
      <c r="N236" s="2">
        <v>6450.0588971070601</v>
      </c>
      <c r="O236" s="2">
        <v>2928.1114040000002</v>
      </c>
      <c r="Q236" s="2">
        <v>17</v>
      </c>
      <c r="R236" s="2">
        <v>7293.6200764801097</v>
      </c>
      <c r="S236" s="2">
        <v>54.538400000000003</v>
      </c>
      <c r="U236" s="2">
        <v>17</v>
      </c>
      <c r="V236" s="2">
        <v>7040.1212666299398</v>
      </c>
      <c r="W236" s="2">
        <v>53.780676999999997</v>
      </c>
    </row>
    <row r="237" spans="1:24" x14ac:dyDescent="0.35">
      <c r="A237" s="2">
        <v>18</v>
      </c>
      <c r="B237" s="2">
        <v>6286.4807632992197</v>
      </c>
      <c r="C237" s="2">
        <v>1927.845671</v>
      </c>
      <c r="E237" s="2">
        <v>18</v>
      </c>
      <c r="F237" s="2">
        <v>6278.4021971737202</v>
      </c>
      <c r="G237" s="2">
        <v>2143.2901000000002</v>
      </c>
      <c r="I237" s="2">
        <v>18</v>
      </c>
      <c r="J237" s="2">
        <v>6803.9244125590803</v>
      </c>
      <c r="K237" s="2">
        <v>54.238111000000004</v>
      </c>
      <c r="M237" s="2">
        <v>18</v>
      </c>
      <c r="N237" s="2">
        <v>6508.7865798917001</v>
      </c>
      <c r="O237" s="2">
        <v>2914.5972740000002</v>
      </c>
      <c r="Q237" s="2">
        <v>18</v>
      </c>
      <c r="R237" s="2">
        <v>7558.7259583660598</v>
      </c>
      <c r="S237" s="2">
        <v>52.864552000000003</v>
      </c>
      <c r="U237" s="2">
        <v>18</v>
      </c>
      <c r="V237" s="2">
        <v>7346.68708447879</v>
      </c>
      <c r="W237" s="2">
        <v>53.121971000000002</v>
      </c>
    </row>
    <row r="238" spans="1:24" x14ac:dyDescent="0.35">
      <c r="A238" s="2">
        <v>19</v>
      </c>
      <c r="B238" s="2">
        <v>6343.6060985147997</v>
      </c>
      <c r="C238" s="2">
        <v>1939.649304</v>
      </c>
      <c r="E238" s="2">
        <v>19</v>
      </c>
      <c r="F238" s="2">
        <v>6295.94675050354</v>
      </c>
      <c r="G238" s="2">
        <v>2136.8544809999999</v>
      </c>
      <c r="I238" s="2">
        <v>19</v>
      </c>
      <c r="J238" s="2">
        <v>6985.02308352821</v>
      </c>
      <c r="K238" s="2">
        <v>54.633842000000001</v>
      </c>
      <c r="M238" s="2">
        <v>19</v>
      </c>
      <c r="N238" s="2">
        <v>6406.2601815314802</v>
      </c>
      <c r="O238" s="2">
        <v>2918.3530000000001</v>
      </c>
      <c r="Q238" s="2">
        <v>19</v>
      </c>
      <c r="R238" s="2">
        <v>7031.78891923011</v>
      </c>
      <c r="S238" s="2">
        <v>53.749420999999998</v>
      </c>
      <c r="U238" s="2">
        <v>19</v>
      </c>
      <c r="V238" s="2">
        <v>7223.2523859687699</v>
      </c>
      <c r="W238" s="2">
        <v>54.402203999999998</v>
      </c>
    </row>
    <row r="239" spans="1:24" x14ac:dyDescent="0.35">
      <c r="A239" s="2">
        <v>20</v>
      </c>
      <c r="B239" s="2">
        <v>6321.5383298411198</v>
      </c>
      <c r="C239" s="2">
        <v>1921.568831</v>
      </c>
      <c r="E239" s="2">
        <v>20</v>
      </c>
      <c r="F239" s="2">
        <v>6301.7284894288896</v>
      </c>
      <c r="G239" s="2">
        <v>2133.620375</v>
      </c>
      <c r="I239" s="2">
        <v>20</v>
      </c>
      <c r="J239" s="2">
        <v>6878.4579405856703</v>
      </c>
      <c r="K239" s="2">
        <v>54.116489999999999</v>
      </c>
      <c r="M239" s="2">
        <v>20</v>
      </c>
      <c r="N239" s="2">
        <v>6761.9766462334401</v>
      </c>
      <c r="O239" s="2">
        <v>2897.8649110000001</v>
      </c>
      <c r="Q239" s="2">
        <v>20</v>
      </c>
      <c r="R239" s="2">
        <v>7164.1236993308303</v>
      </c>
      <c r="S239" s="2">
        <v>53.746276999999999</v>
      </c>
      <c r="U239" s="2">
        <v>20</v>
      </c>
      <c r="V239" s="2">
        <v>7355.0254500570099</v>
      </c>
      <c r="W239" s="2">
        <v>51.431038000000001</v>
      </c>
    </row>
    <row r="240" spans="1:24" x14ac:dyDescent="0.35">
      <c r="A240" s="2" t="s">
        <v>19</v>
      </c>
      <c r="B240" s="3">
        <f>AVERAGE(B220:B239)</f>
        <v>6274.0462315562845</v>
      </c>
      <c r="C240" s="3">
        <f>AVERAGE(C220:C239)</f>
        <v>1927.2900504000002</v>
      </c>
      <c r="F240" s="3">
        <f>AVERAGE(F220:F239)</f>
        <v>6265.8383309482579</v>
      </c>
      <c r="G240" s="3">
        <f>AVERAGE(G220:G239)</f>
        <v>2134.6946875999997</v>
      </c>
      <c r="H240" s="3"/>
      <c r="J240" s="3">
        <f>AVERAGE(J220:J239)</f>
        <v>6999.757900482613</v>
      </c>
      <c r="K240" s="3">
        <f>AVERAGE(K220:K239)</f>
        <v>53.966807700000004</v>
      </c>
      <c r="L240" s="3"/>
      <c r="N240" s="3">
        <f>AVERAGE(N220:N239)</f>
        <v>6539.6075557816566</v>
      </c>
      <c r="O240" s="3">
        <f>AVERAGE(O220:O239)</f>
        <v>2902.1270426999999</v>
      </c>
      <c r="P240" s="3"/>
      <c r="R240" s="3">
        <f>AVERAGE(R220:R239)</f>
        <v>7342.7670869756357</v>
      </c>
      <c r="S240" s="3">
        <f>AVERAGE(S220:S239)</f>
        <v>53.768472499999994</v>
      </c>
      <c r="T240" s="3"/>
      <c r="V240" s="3">
        <f>AVERAGE(V220:V239)</f>
        <v>7274.0428441149634</v>
      </c>
      <c r="W240" s="3">
        <f>AVERAGE(W220:W239)</f>
        <v>53.375306500000001</v>
      </c>
      <c r="X240" s="3"/>
    </row>
    <row r="241" spans="1:24" x14ac:dyDescent="0.35">
      <c r="A241" s="2" t="s">
        <v>36</v>
      </c>
      <c r="B241" s="2" cm="1">
        <f t="array" ref="B241">[1]!SignTest(B220:B239,F220:F239,2)</f>
        <v>0.26317596435546897</v>
      </c>
      <c r="C241" s="2" cm="1">
        <f t="array" ref="C241">[1]!SignTest(C220:C239,G220:G239,2)</f>
        <v>1.9073486328125E-6</v>
      </c>
    </row>
    <row r="242" spans="1:24" ht="21" x14ac:dyDescent="0.5">
      <c r="A242" s="10" t="s">
        <v>10</v>
      </c>
      <c r="B242" s="10"/>
      <c r="C242" s="10"/>
      <c r="E242" s="10" t="s">
        <v>10</v>
      </c>
      <c r="F242" s="10"/>
      <c r="G242" s="10"/>
      <c r="H242" s="1"/>
      <c r="I242" s="10" t="s">
        <v>10</v>
      </c>
      <c r="J242" s="10"/>
      <c r="K242" s="10"/>
      <c r="L242" s="1"/>
      <c r="M242" s="10" t="s">
        <v>10</v>
      </c>
      <c r="N242" s="10"/>
      <c r="O242" s="10"/>
      <c r="P242" s="1"/>
      <c r="Q242" s="10" t="s">
        <v>10</v>
      </c>
      <c r="R242" s="10"/>
      <c r="S242" s="10"/>
      <c r="T242" s="1"/>
      <c r="U242" s="10" t="s">
        <v>10</v>
      </c>
      <c r="V242" s="10"/>
      <c r="W242" s="10"/>
      <c r="X242" s="1"/>
    </row>
    <row r="243" spans="1:24" x14ac:dyDescent="0.35">
      <c r="A243" s="2" t="s">
        <v>15</v>
      </c>
      <c r="B243" s="2" t="s">
        <v>16</v>
      </c>
      <c r="C243" s="2" t="s">
        <v>17</v>
      </c>
      <c r="E243" s="2" t="s">
        <v>15</v>
      </c>
      <c r="F243" s="2" t="s">
        <v>16</v>
      </c>
      <c r="G243" s="2" t="s">
        <v>17</v>
      </c>
      <c r="I243" s="2" t="s">
        <v>15</v>
      </c>
      <c r="J243" s="2" t="s">
        <v>16</v>
      </c>
      <c r="K243" s="2" t="s">
        <v>17</v>
      </c>
      <c r="M243" s="2" t="s">
        <v>15</v>
      </c>
      <c r="N243" s="2" t="s">
        <v>16</v>
      </c>
      <c r="O243" s="2" t="s">
        <v>17</v>
      </c>
      <c r="Q243" s="2" t="s">
        <v>15</v>
      </c>
      <c r="R243" s="2" t="s">
        <v>16</v>
      </c>
      <c r="S243" s="2" t="s">
        <v>17</v>
      </c>
      <c r="U243" s="2" t="s">
        <v>15</v>
      </c>
      <c r="V243" s="2" t="s">
        <v>16</v>
      </c>
      <c r="W243" s="2" t="s">
        <v>17</v>
      </c>
    </row>
    <row r="244" spans="1:24" x14ac:dyDescent="0.35">
      <c r="A244" s="2">
        <v>1</v>
      </c>
      <c r="B244" s="2">
        <v>59396.3137496294</v>
      </c>
      <c r="C244" s="2">
        <v>2953.0747280000001</v>
      </c>
      <c r="E244" s="2">
        <v>1</v>
      </c>
      <c r="F244" s="2">
        <v>59278.910275640497</v>
      </c>
      <c r="G244" s="2">
        <v>2915.1289099999999</v>
      </c>
      <c r="I244" s="2">
        <v>1</v>
      </c>
      <c r="J244" s="2">
        <v>65404.153929919601</v>
      </c>
      <c r="K244" s="2">
        <v>64.782323000000005</v>
      </c>
      <c r="M244" s="2">
        <v>1</v>
      </c>
      <c r="N244" s="2">
        <v>60753.466323702298</v>
      </c>
      <c r="O244" s="2">
        <v>3943.352069</v>
      </c>
      <c r="Q244" s="2">
        <v>1</v>
      </c>
      <c r="R244" s="2">
        <v>61234.861910260697</v>
      </c>
      <c r="S244" s="2">
        <v>62.407660999999997</v>
      </c>
      <c r="U244" s="2">
        <v>1</v>
      </c>
      <c r="V244" s="2">
        <v>64488.309846236298</v>
      </c>
      <c r="W244" s="2">
        <v>64.031696999999994</v>
      </c>
    </row>
    <row r="245" spans="1:24" x14ac:dyDescent="0.35">
      <c r="A245" s="2">
        <v>2</v>
      </c>
      <c r="B245" s="2">
        <v>58794.984643936397</v>
      </c>
      <c r="C245" s="2">
        <v>2945.764995</v>
      </c>
      <c r="E245" s="2">
        <v>2</v>
      </c>
      <c r="F245" s="2">
        <v>58687.796101783802</v>
      </c>
      <c r="G245" s="2">
        <v>2940.9808200000002</v>
      </c>
      <c r="I245" s="2">
        <v>2</v>
      </c>
      <c r="J245" s="2">
        <v>64308.364235917703</v>
      </c>
      <c r="K245" s="2">
        <v>66.400807999999998</v>
      </c>
      <c r="M245" s="2">
        <v>2</v>
      </c>
      <c r="N245" s="2">
        <v>60753.466323702298</v>
      </c>
      <c r="O245" s="2">
        <v>3927.9889710000002</v>
      </c>
      <c r="Q245" s="2">
        <v>2</v>
      </c>
      <c r="R245" s="2">
        <v>61464.334080106601</v>
      </c>
      <c r="S245" s="2">
        <v>66.143270000000001</v>
      </c>
      <c r="U245" s="2">
        <v>2</v>
      </c>
      <c r="V245" s="2">
        <v>70570.172672634202</v>
      </c>
      <c r="W245" s="2">
        <v>64.890984000000003</v>
      </c>
    </row>
    <row r="246" spans="1:24" x14ac:dyDescent="0.35">
      <c r="A246" s="2">
        <v>3</v>
      </c>
      <c r="B246" s="2">
        <v>61032.523926017697</v>
      </c>
      <c r="C246" s="2">
        <v>2931.4394699999998</v>
      </c>
      <c r="E246" s="2">
        <v>3</v>
      </c>
      <c r="F246" s="2">
        <v>58862.859895121597</v>
      </c>
      <c r="G246" s="2">
        <v>2955.3795690000002</v>
      </c>
      <c r="I246" s="2">
        <v>3</v>
      </c>
      <c r="J246" s="2">
        <v>66297.924612253599</v>
      </c>
      <c r="K246" s="2">
        <v>65.634506000000002</v>
      </c>
      <c r="M246" s="2">
        <v>3</v>
      </c>
      <c r="N246" s="2">
        <v>60753.466323702298</v>
      </c>
      <c r="O246" s="2">
        <v>3944.9784650000001</v>
      </c>
      <c r="Q246" s="2">
        <v>3</v>
      </c>
      <c r="R246" s="2">
        <v>61563.4286984391</v>
      </c>
      <c r="S246" s="2">
        <v>66.416881000000004</v>
      </c>
      <c r="U246" s="2">
        <v>3</v>
      </c>
      <c r="V246" s="2">
        <v>68128.684181575401</v>
      </c>
      <c r="W246" s="2">
        <v>63.776364999999998</v>
      </c>
    </row>
    <row r="247" spans="1:24" x14ac:dyDescent="0.35">
      <c r="A247" s="2">
        <v>4</v>
      </c>
      <c r="B247" s="2">
        <v>58620.693335163996</v>
      </c>
      <c r="C247" s="2">
        <v>2938.1868260000001</v>
      </c>
      <c r="E247" s="2">
        <v>4</v>
      </c>
      <c r="F247" s="2">
        <v>60885.485097304198</v>
      </c>
      <c r="G247" s="2">
        <v>2933.0897930000001</v>
      </c>
      <c r="I247" s="2">
        <v>4</v>
      </c>
      <c r="J247" s="2">
        <v>67146.953036524807</v>
      </c>
      <c r="K247" s="2">
        <v>64.764025000000004</v>
      </c>
      <c r="M247" s="2">
        <v>4</v>
      </c>
      <c r="N247" s="2">
        <v>59247.842008874301</v>
      </c>
      <c r="O247" s="2">
        <v>3914.0689000000002</v>
      </c>
      <c r="Q247" s="2">
        <v>4</v>
      </c>
      <c r="R247" s="2">
        <v>61315.892000283799</v>
      </c>
      <c r="S247" s="2">
        <v>65.044985999999994</v>
      </c>
      <c r="U247" s="2">
        <v>4</v>
      </c>
      <c r="V247" s="2">
        <v>69292.521271002697</v>
      </c>
      <c r="W247" s="2">
        <v>64.273150999999999</v>
      </c>
    </row>
    <row r="248" spans="1:24" x14ac:dyDescent="0.35">
      <c r="A248" s="2">
        <v>5</v>
      </c>
      <c r="B248" s="2">
        <v>58794.984643936397</v>
      </c>
      <c r="C248" s="2">
        <v>2936.4933270000001</v>
      </c>
      <c r="E248" s="2">
        <v>5</v>
      </c>
      <c r="F248" s="2">
        <v>58828.5360272463</v>
      </c>
      <c r="G248" s="2">
        <v>2877.8299630000001</v>
      </c>
      <c r="I248" s="2">
        <v>5</v>
      </c>
      <c r="J248" s="2">
        <v>64900.126876882103</v>
      </c>
      <c r="K248" s="2">
        <v>64.346598</v>
      </c>
      <c r="M248" s="2">
        <v>5</v>
      </c>
      <c r="N248" s="2">
        <v>60858.463733401899</v>
      </c>
      <c r="O248" s="2">
        <v>3913.1658400000001</v>
      </c>
      <c r="Q248" s="2">
        <v>5</v>
      </c>
      <c r="R248" s="2">
        <v>60963.265074598501</v>
      </c>
      <c r="S248" s="2">
        <v>64.819711999999996</v>
      </c>
      <c r="U248" s="2">
        <v>5</v>
      </c>
      <c r="V248" s="2">
        <v>67104.206460893896</v>
      </c>
      <c r="W248" s="2">
        <v>65.067340000000002</v>
      </c>
    </row>
    <row r="249" spans="1:24" x14ac:dyDescent="0.35">
      <c r="A249" s="2">
        <v>6</v>
      </c>
      <c r="B249" s="2">
        <v>58620.693335163996</v>
      </c>
      <c r="C249" s="2">
        <v>2951.0024530000001</v>
      </c>
      <c r="E249" s="2">
        <v>6</v>
      </c>
      <c r="F249" s="2">
        <v>58828.5360272463</v>
      </c>
      <c r="G249" s="2">
        <v>2864.7167979999999</v>
      </c>
      <c r="I249" s="2">
        <v>6</v>
      </c>
      <c r="J249" s="2">
        <v>66362.394647261201</v>
      </c>
      <c r="K249" s="2">
        <v>64.101380000000006</v>
      </c>
      <c r="M249" s="2">
        <v>6</v>
      </c>
      <c r="N249" s="2">
        <v>60753.466323702298</v>
      </c>
      <c r="O249" s="2">
        <v>3944.0711729999998</v>
      </c>
      <c r="Q249" s="2">
        <v>6</v>
      </c>
      <c r="R249" s="2">
        <v>61114.9824067183</v>
      </c>
      <c r="S249" s="2">
        <v>65.300364000000002</v>
      </c>
      <c r="U249" s="2">
        <v>6</v>
      </c>
      <c r="V249" s="2">
        <v>67172.851977191007</v>
      </c>
      <c r="W249" s="2">
        <v>65.367366000000004</v>
      </c>
    </row>
    <row r="250" spans="1:24" x14ac:dyDescent="0.35">
      <c r="A250" s="2">
        <v>7</v>
      </c>
      <c r="B250" s="2">
        <v>59278.910275640497</v>
      </c>
      <c r="C250" s="2">
        <v>2931.9988290000001</v>
      </c>
      <c r="E250" s="2">
        <v>7</v>
      </c>
      <c r="F250" s="2">
        <v>58828.5360272463</v>
      </c>
      <c r="G250" s="2">
        <v>2926.3152449999998</v>
      </c>
      <c r="I250" s="2">
        <v>7</v>
      </c>
      <c r="J250" s="2">
        <v>68505.986108511395</v>
      </c>
      <c r="K250" s="2">
        <v>66.120615999999998</v>
      </c>
      <c r="M250" s="2">
        <v>7</v>
      </c>
      <c r="N250" s="2">
        <v>60905.183655822198</v>
      </c>
      <c r="O250" s="2">
        <v>3911.7107489999999</v>
      </c>
      <c r="Q250" s="2">
        <v>7</v>
      </c>
      <c r="R250" s="2">
        <v>61706.990032383597</v>
      </c>
      <c r="S250" s="2">
        <v>65.053708999999998</v>
      </c>
      <c r="U250" s="2">
        <v>7</v>
      </c>
      <c r="V250" s="2">
        <v>68441.251786583496</v>
      </c>
      <c r="W250" s="2">
        <v>62.935558999999998</v>
      </c>
    </row>
    <row r="251" spans="1:24" x14ac:dyDescent="0.35">
      <c r="A251" s="2">
        <v>8</v>
      </c>
      <c r="B251" s="2">
        <v>59223.277155088901</v>
      </c>
      <c r="C251" s="2">
        <v>2914.7074590000002</v>
      </c>
      <c r="E251" s="2">
        <v>8</v>
      </c>
      <c r="F251" s="2">
        <v>59037.151203893998</v>
      </c>
      <c r="G251" s="2">
        <v>2939.8405229999998</v>
      </c>
      <c r="I251" s="2">
        <v>8</v>
      </c>
      <c r="J251" s="2">
        <v>66060.649908971594</v>
      </c>
      <c r="K251" s="2">
        <v>65.07696</v>
      </c>
      <c r="M251" s="2">
        <v>8</v>
      </c>
      <c r="N251" s="2">
        <v>60952.377587923998</v>
      </c>
      <c r="O251" s="2">
        <v>3922.3845630000001</v>
      </c>
      <c r="Q251" s="2">
        <v>8</v>
      </c>
      <c r="R251" s="2">
        <v>61270.131704323401</v>
      </c>
      <c r="S251" s="2">
        <v>65.060813999999993</v>
      </c>
      <c r="U251" s="2">
        <v>8</v>
      </c>
      <c r="V251" s="2">
        <v>65305.424667432802</v>
      </c>
      <c r="W251" s="2">
        <v>64.359823000000006</v>
      </c>
    </row>
    <row r="252" spans="1:24" x14ac:dyDescent="0.35">
      <c r="A252" s="2">
        <v>9</v>
      </c>
      <c r="B252" s="2">
        <v>59606.200510836403</v>
      </c>
      <c r="C252" s="2">
        <v>2960.0018439999999</v>
      </c>
      <c r="E252" s="2">
        <v>9</v>
      </c>
      <c r="F252" s="2">
        <v>59605.954182533598</v>
      </c>
      <c r="G252" s="2">
        <v>2944.7361460000002</v>
      </c>
      <c r="I252" s="2">
        <v>9</v>
      </c>
      <c r="J252" s="2">
        <v>66448.043945841695</v>
      </c>
      <c r="K252" s="2">
        <v>66.518294999999995</v>
      </c>
      <c r="M252" s="2">
        <v>9</v>
      </c>
      <c r="N252" s="2">
        <v>60753.466323702298</v>
      </c>
      <c r="O252" s="2">
        <v>3924.6086070000001</v>
      </c>
      <c r="Q252" s="2">
        <v>9</v>
      </c>
      <c r="R252" s="2">
        <v>62018.932215588196</v>
      </c>
      <c r="S252" s="2">
        <v>65.449700000000007</v>
      </c>
      <c r="U252" s="2">
        <v>9</v>
      </c>
      <c r="V252" s="2">
        <v>71089.743038507295</v>
      </c>
      <c r="W252" s="2">
        <v>63.832265999999997</v>
      </c>
    </row>
    <row r="253" spans="1:24" x14ac:dyDescent="0.35">
      <c r="A253" s="2">
        <v>10</v>
      </c>
      <c r="B253" s="2">
        <v>60737.678126606603</v>
      </c>
      <c r="C253" s="2">
        <v>2943.3584019999998</v>
      </c>
      <c r="E253" s="2">
        <v>10</v>
      </c>
      <c r="F253" s="2">
        <v>58828.5360272463</v>
      </c>
      <c r="G253" s="2">
        <v>2941.180527</v>
      </c>
      <c r="I253" s="2">
        <v>10</v>
      </c>
      <c r="J253" s="2">
        <v>64659.273918452804</v>
      </c>
      <c r="K253" s="2">
        <v>65.739175000000003</v>
      </c>
      <c r="M253" s="2">
        <v>10</v>
      </c>
      <c r="N253" s="2">
        <v>60858.463733401899</v>
      </c>
      <c r="O253" s="2">
        <v>3932.1471780000002</v>
      </c>
      <c r="Q253" s="2">
        <v>10</v>
      </c>
      <c r="R253" s="2">
        <v>61114.9824067183</v>
      </c>
      <c r="S253" s="2">
        <v>65.796632000000002</v>
      </c>
      <c r="U253" s="2">
        <v>10</v>
      </c>
      <c r="V253" s="2">
        <v>66697.888104949903</v>
      </c>
      <c r="W253" s="2">
        <v>64.897157000000007</v>
      </c>
    </row>
    <row r="254" spans="1:24" x14ac:dyDescent="0.35">
      <c r="A254" s="2">
        <v>11</v>
      </c>
      <c r="B254" s="2">
        <v>59320.868867366502</v>
      </c>
      <c r="C254" s="2">
        <v>2907.6853099999998</v>
      </c>
      <c r="E254" s="2">
        <v>11</v>
      </c>
      <c r="F254" s="2">
        <v>58862.087410556203</v>
      </c>
      <c r="G254" s="2">
        <v>2939.8461010000001</v>
      </c>
      <c r="I254" s="2">
        <v>11</v>
      </c>
      <c r="J254" s="2">
        <v>67328.617270542803</v>
      </c>
      <c r="K254" s="2">
        <v>65.597209000000007</v>
      </c>
      <c r="M254" s="2">
        <v>11</v>
      </c>
      <c r="N254" s="2">
        <v>61399.206498307904</v>
      </c>
      <c r="O254" s="2">
        <v>3905.0404960000001</v>
      </c>
      <c r="Q254" s="2">
        <v>11</v>
      </c>
      <c r="R254" s="2">
        <v>61077.558275858602</v>
      </c>
      <c r="S254" s="2">
        <v>64.566423</v>
      </c>
      <c r="U254" s="2">
        <v>11</v>
      </c>
      <c r="V254" s="2">
        <v>65875.0203069813</v>
      </c>
      <c r="W254" s="2">
        <v>65.092529999999996</v>
      </c>
    </row>
    <row r="255" spans="1:24" x14ac:dyDescent="0.35">
      <c r="A255" s="2">
        <v>12</v>
      </c>
      <c r="B255" s="2">
        <v>58970.048437274199</v>
      </c>
      <c r="C255" s="2">
        <v>2940.3003720000002</v>
      </c>
      <c r="E255" s="2">
        <v>12</v>
      </c>
      <c r="F255" s="2">
        <v>58862.087410556203</v>
      </c>
      <c r="G255" s="2">
        <v>2929.062191</v>
      </c>
      <c r="I255" s="2">
        <v>12</v>
      </c>
      <c r="J255" s="2">
        <v>66574.219751193494</v>
      </c>
      <c r="K255" s="2">
        <v>65.371718000000001</v>
      </c>
      <c r="M255" s="2">
        <v>12</v>
      </c>
      <c r="N255" s="2">
        <v>61429.628841259</v>
      </c>
      <c r="O255" s="2">
        <v>3854.6095690000002</v>
      </c>
      <c r="Q255" s="2">
        <v>12</v>
      </c>
      <c r="R255" s="2">
        <v>62008.3685228307</v>
      </c>
      <c r="S255" s="2">
        <v>65.680582999999999</v>
      </c>
      <c r="U255" s="2">
        <v>12</v>
      </c>
      <c r="V255" s="2">
        <v>64448.070603736996</v>
      </c>
      <c r="W255" s="2">
        <v>63.947246999999997</v>
      </c>
    </row>
    <row r="256" spans="1:24" x14ac:dyDescent="0.35">
      <c r="A256" s="2">
        <v>13</v>
      </c>
      <c r="B256" s="2">
        <v>59003.599820584102</v>
      </c>
      <c r="C256" s="2">
        <v>2942.274915</v>
      </c>
      <c r="E256" s="2">
        <v>13</v>
      </c>
      <c r="F256" s="2">
        <v>60445.615962995304</v>
      </c>
      <c r="G256" s="2">
        <v>2959.3475920000001</v>
      </c>
      <c r="I256" s="2">
        <v>13</v>
      </c>
      <c r="J256" s="2">
        <v>70210.152886030701</v>
      </c>
      <c r="K256" s="2">
        <v>64.555895000000007</v>
      </c>
      <c r="M256" s="2">
        <v>13</v>
      </c>
      <c r="N256" s="2">
        <v>60753.466323702298</v>
      </c>
      <c r="O256" s="2">
        <v>3916.2196370000001</v>
      </c>
      <c r="Q256" s="2">
        <v>13</v>
      </c>
      <c r="R256" s="2">
        <v>61422.001886426398</v>
      </c>
      <c r="S256" s="2">
        <v>65.160061999999996</v>
      </c>
      <c r="U256" s="2">
        <v>13</v>
      </c>
      <c r="V256" s="2">
        <v>67358.319684009402</v>
      </c>
      <c r="W256" s="2">
        <v>64.692031999999998</v>
      </c>
    </row>
    <row r="257" spans="1:24" x14ac:dyDescent="0.35">
      <c r="A257" s="2">
        <v>14</v>
      </c>
      <c r="B257" s="2">
        <v>58969.075208623399</v>
      </c>
      <c r="C257" s="2">
        <v>2936.9011329999998</v>
      </c>
      <c r="E257" s="2">
        <v>14</v>
      </c>
      <c r="F257" s="2">
        <v>58829.308511811701</v>
      </c>
      <c r="G257" s="2">
        <v>2941.6343179999999</v>
      </c>
      <c r="I257" s="2">
        <v>14</v>
      </c>
      <c r="J257" s="2">
        <v>64607.016381014801</v>
      </c>
      <c r="K257" s="2">
        <v>65.382323999999997</v>
      </c>
      <c r="M257" s="2">
        <v>14</v>
      </c>
      <c r="N257" s="2">
        <v>60905.183655822198</v>
      </c>
      <c r="O257" s="2">
        <v>3884.692427</v>
      </c>
      <c r="Q257" s="2">
        <v>14</v>
      </c>
      <c r="R257" s="2">
        <v>60963.265074598501</v>
      </c>
      <c r="S257" s="2">
        <v>65.723089000000002</v>
      </c>
      <c r="U257" s="2">
        <v>14</v>
      </c>
      <c r="V257" s="2">
        <v>66715.717904634803</v>
      </c>
      <c r="W257" s="2">
        <v>63.958168000000001</v>
      </c>
    </row>
    <row r="258" spans="1:24" x14ac:dyDescent="0.35">
      <c r="A258" s="2">
        <v>15</v>
      </c>
      <c r="B258" s="2">
        <v>58654.244718473899</v>
      </c>
      <c r="C258" s="2">
        <v>2921.6939000000002</v>
      </c>
      <c r="E258" s="2">
        <v>15</v>
      </c>
      <c r="F258" s="2">
        <v>58721.347485093698</v>
      </c>
      <c r="G258" s="2">
        <v>2947.5534280000002</v>
      </c>
      <c r="I258" s="2">
        <v>15</v>
      </c>
      <c r="J258" s="2">
        <v>64677.367429968501</v>
      </c>
      <c r="K258" s="2">
        <v>64.045519999999996</v>
      </c>
      <c r="M258" s="2">
        <v>15</v>
      </c>
      <c r="N258" s="2">
        <v>60753.466323702298</v>
      </c>
      <c r="O258" s="2">
        <v>3926.970026</v>
      </c>
      <c r="Q258" s="2">
        <v>15</v>
      </c>
      <c r="R258" s="2">
        <v>61668.0217669868</v>
      </c>
      <c r="S258" s="2">
        <v>65.695171000000002</v>
      </c>
      <c r="U258" s="2">
        <v>15</v>
      </c>
      <c r="V258" s="2">
        <v>65163.050795615003</v>
      </c>
      <c r="W258" s="2">
        <v>62.704614999999997</v>
      </c>
    </row>
    <row r="259" spans="1:24" x14ac:dyDescent="0.35">
      <c r="A259" s="2">
        <v>16</v>
      </c>
      <c r="B259" s="2">
        <v>58654.244718473899</v>
      </c>
      <c r="C259" s="2">
        <v>2937.0942110000001</v>
      </c>
      <c r="E259" s="2">
        <v>16</v>
      </c>
      <c r="F259" s="2">
        <v>58828.5360272463</v>
      </c>
      <c r="G259" s="2">
        <v>2942.8409929999998</v>
      </c>
      <c r="I259" s="2">
        <v>16</v>
      </c>
      <c r="J259" s="2">
        <v>65604.119161111405</v>
      </c>
      <c r="K259" s="2">
        <v>64.915316000000004</v>
      </c>
      <c r="M259" s="2">
        <v>16</v>
      </c>
      <c r="N259" s="2">
        <v>60984.511565000197</v>
      </c>
      <c r="O259" s="2">
        <v>3913.9824610000001</v>
      </c>
      <c r="Q259" s="2">
        <v>16</v>
      </c>
      <c r="R259" s="2">
        <v>61114.9824067183</v>
      </c>
      <c r="S259" s="2">
        <v>64.213965999999999</v>
      </c>
      <c r="U259" s="2">
        <v>16</v>
      </c>
      <c r="V259" s="2">
        <v>64453.059744214697</v>
      </c>
      <c r="W259" s="2">
        <v>65.405510000000007</v>
      </c>
    </row>
    <row r="260" spans="1:24" x14ac:dyDescent="0.35">
      <c r="A260" s="2">
        <v>17</v>
      </c>
      <c r="B260" s="2">
        <v>58794.984643936397</v>
      </c>
      <c r="C260" s="2">
        <v>2942.3677400000001</v>
      </c>
      <c r="E260" s="2">
        <v>17</v>
      </c>
      <c r="F260" s="2">
        <v>59259.475638434</v>
      </c>
      <c r="G260" s="2">
        <v>2962.2669329999999</v>
      </c>
      <c r="I260" s="2">
        <v>17</v>
      </c>
      <c r="J260" s="2">
        <v>64149.314473778002</v>
      </c>
      <c r="K260" s="2">
        <v>66.063588999999993</v>
      </c>
      <c r="M260" s="2">
        <v>17</v>
      </c>
      <c r="N260" s="2">
        <v>60753.466323702298</v>
      </c>
      <c r="O260" s="2">
        <v>3929.3699649999999</v>
      </c>
      <c r="Q260" s="2">
        <v>17</v>
      </c>
      <c r="R260" s="2">
        <v>60963.265074598501</v>
      </c>
      <c r="S260" s="2">
        <v>65.546132999999998</v>
      </c>
      <c r="U260" s="2">
        <v>17</v>
      </c>
      <c r="V260" s="2">
        <v>67719.971433050901</v>
      </c>
      <c r="W260" s="2">
        <v>65.918198000000004</v>
      </c>
    </row>
    <row r="261" spans="1:24" x14ac:dyDescent="0.35">
      <c r="A261" s="2">
        <v>18</v>
      </c>
      <c r="B261" s="2">
        <v>58970.048437274199</v>
      </c>
      <c r="C261" s="2">
        <v>2949.7967669999998</v>
      </c>
      <c r="E261" s="2">
        <v>18</v>
      </c>
      <c r="F261" s="2">
        <v>58794.984643936397</v>
      </c>
      <c r="G261" s="2">
        <v>2971.9018649999998</v>
      </c>
      <c r="I261" s="2">
        <v>18</v>
      </c>
      <c r="J261" s="2">
        <v>68493.429722705201</v>
      </c>
      <c r="K261" s="2">
        <v>64.439654000000004</v>
      </c>
      <c r="M261" s="2">
        <v>18</v>
      </c>
      <c r="N261" s="2">
        <v>60984.511565000197</v>
      </c>
      <c r="O261" s="2">
        <v>3895.5757979999998</v>
      </c>
      <c r="Q261" s="2">
        <v>18</v>
      </c>
      <c r="R261" s="2">
        <v>60982.4876570138</v>
      </c>
      <c r="S261" s="2">
        <v>65.299149</v>
      </c>
      <c r="U261" s="2">
        <v>18</v>
      </c>
      <c r="V261" s="2">
        <v>64286.7976778921</v>
      </c>
      <c r="W261" s="2">
        <v>64.763918000000004</v>
      </c>
    </row>
    <row r="262" spans="1:24" x14ac:dyDescent="0.35">
      <c r="A262" s="2">
        <v>19</v>
      </c>
      <c r="B262" s="2">
        <v>58654.244718473899</v>
      </c>
      <c r="C262" s="2">
        <v>2922.7192060000002</v>
      </c>
      <c r="E262" s="2">
        <v>19</v>
      </c>
      <c r="F262" s="2">
        <v>58828.5360272463</v>
      </c>
      <c r="G262" s="2">
        <v>2945.2785490000001</v>
      </c>
      <c r="I262" s="2">
        <v>19</v>
      </c>
      <c r="J262" s="2">
        <v>65052.364506342499</v>
      </c>
      <c r="K262" s="2">
        <v>64.586268000000004</v>
      </c>
      <c r="M262" s="2">
        <v>19</v>
      </c>
      <c r="N262" s="2">
        <v>60753.466323702298</v>
      </c>
      <c r="O262" s="2">
        <v>3877.0940380000002</v>
      </c>
      <c r="Q262" s="2">
        <v>19</v>
      </c>
      <c r="R262" s="2">
        <v>61114.9824067183</v>
      </c>
      <c r="S262" s="2">
        <v>64.603134999999995</v>
      </c>
      <c r="U262" s="2">
        <v>19</v>
      </c>
      <c r="V262" s="2">
        <v>67545.432917372498</v>
      </c>
      <c r="W262" s="2">
        <v>62.654702</v>
      </c>
    </row>
    <row r="263" spans="1:24" x14ac:dyDescent="0.35">
      <c r="A263" s="2">
        <v>20</v>
      </c>
      <c r="B263" s="2">
        <v>58761.433260626502</v>
      </c>
      <c r="C263" s="2">
        <v>2931.650279</v>
      </c>
      <c r="E263" s="2">
        <v>20</v>
      </c>
      <c r="F263" s="2">
        <v>58794.984643936397</v>
      </c>
      <c r="G263" s="2">
        <v>2922.4187299999999</v>
      </c>
      <c r="I263" s="2">
        <v>20</v>
      </c>
      <c r="J263" s="2">
        <v>65324.396449121603</v>
      </c>
      <c r="K263" s="2">
        <v>65.402428999999998</v>
      </c>
      <c r="M263" s="2">
        <v>20</v>
      </c>
      <c r="N263" s="2">
        <v>60753.466323702298</v>
      </c>
      <c r="O263" s="2">
        <v>3900.9398890000002</v>
      </c>
      <c r="Q263" s="2">
        <v>20</v>
      </c>
      <c r="R263" s="2">
        <v>60982.4876570138</v>
      </c>
      <c r="S263" s="2">
        <v>65.917739999999995</v>
      </c>
      <c r="U263" s="2">
        <v>20</v>
      </c>
      <c r="V263" s="2">
        <v>64861.745937740197</v>
      </c>
      <c r="W263" s="2">
        <v>66.218985000000004</v>
      </c>
    </row>
    <row r="264" spans="1:24" x14ac:dyDescent="0.35">
      <c r="A264" s="2" t="s">
        <v>19</v>
      </c>
      <c r="B264" s="3">
        <f>AVERAGE(B244:B263)</f>
        <v>59142.952626656355</v>
      </c>
      <c r="C264" s="3">
        <f>AVERAGE(C244:C263)</f>
        <v>2936.9256083000005</v>
      </c>
      <c r="F264" s="3">
        <f>AVERAGE(F244:F263)</f>
        <v>59094.963231353766</v>
      </c>
      <c r="G264" s="3">
        <f>AVERAGE(G244:G263)</f>
        <v>2935.0674496999995</v>
      </c>
      <c r="H264" s="3"/>
      <c r="J264" s="3">
        <f>AVERAGE(J244:J263)</f>
        <v>66105.743462617276</v>
      </c>
      <c r="K264" s="3">
        <f>AVERAGE(K244:K263)</f>
        <v>65.1922304</v>
      </c>
      <c r="L264" s="3"/>
      <c r="N264" s="3">
        <f>AVERAGE(N244:N263)</f>
        <v>60803.001804091837</v>
      </c>
      <c r="O264" s="3">
        <f>AVERAGE(O244:O263)</f>
        <v>3914.1485410500004</v>
      </c>
      <c r="P264" s="3"/>
      <c r="R264" s="3">
        <f>AVERAGE(R244:R263)</f>
        <v>61303.261062909194</v>
      </c>
      <c r="S264" s="3">
        <f>AVERAGE(S244:S263)</f>
        <v>65.194958999999997</v>
      </c>
      <c r="T264" s="3"/>
      <c r="V264" s="3">
        <f>AVERAGE(V244:V263)</f>
        <v>66835.912050612751</v>
      </c>
      <c r="W264" s="3">
        <f>AVERAGE(W244:W263)</f>
        <v>64.439380650000004</v>
      </c>
      <c r="X264" s="3"/>
    </row>
    <row r="265" spans="1:24" x14ac:dyDescent="0.35">
      <c r="A265" s="2" t="s">
        <v>36</v>
      </c>
      <c r="B265" s="2" cm="1">
        <f t="array" ref="B265">[1]!SignTest(B244:B263,F244:F263,2)</f>
        <v>0.82380294799804699</v>
      </c>
      <c r="C265" s="2" cm="1">
        <f t="array" ref="C265">[1]!SignTest(C244:C263,G244:G263,2)</f>
        <v>0.82380294799804688</v>
      </c>
    </row>
    <row r="266" spans="1:24" ht="21" x14ac:dyDescent="0.5">
      <c r="A266" s="10" t="s">
        <v>11</v>
      </c>
      <c r="B266" s="10"/>
      <c r="C266" s="10"/>
      <c r="E266" s="10" t="s">
        <v>11</v>
      </c>
      <c r="F266" s="10"/>
      <c r="G266" s="10"/>
      <c r="H266" s="1"/>
      <c r="I266" s="10" t="s">
        <v>11</v>
      </c>
      <c r="J266" s="10"/>
      <c r="K266" s="10"/>
      <c r="L266" s="1"/>
      <c r="M266" s="10" t="s">
        <v>11</v>
      </c>
      <c r="N266" s="10"/>
      <c r="O266" s="10"/>
      <c r="P266" s="1"/>
      <c r="Q266" s="10" t="s">
        <v>11</v>
      </c>
      <c r="R266" s="10"/>
      <c r="S266" s="10"/>
      <c r="T266" s="1"/>
      <c r="U266" s="10" t="s">
        <v>11</v>
      </c>
      <c r="V266" s="10"/>
      <c r="W266" s="10"/>
      <c r="X266" s="1"/>
    </row>
    <row r="267" spans="1:24" ht="21" x14ac:dyDescent="0.5">
      <c r="A267" s="2" t="s">
        <v>15</v>
      </c>
      <c r="B267" s="2" t="s">
        <v>16</v>
      </c>
      <c r="C267" s="2" t="s">
        <v>17</v>
      </c>
      <c r="D267" s="1"/>
      <c r="E267" s="2" t="s">
        <v>15</v>
      </c>
      <c r="F267" s="2" t="s">
        <v>16</v>
      </c>
      <c r="G267" s="2" t="s">
        <v>17</v>
      </c>
      <c r="I267" s="2" t="s">
        <v>15</v>
      </c>
      <c r="J267" s="2" t="s">
        <v>16</v>
      </c>
      <c r="K267" s="2" t="s">
        <v>17</v>
      </c>
      <c r="M267" s="2" t="s">
        <v>15</v>
      </c>
      <c r="N267" s="2" t="s">
        <v>16</v>
      </c>
      <c r="O267" s="2" t="s">
        <v>17</v>
      </c>
      <c r="Q267" s="2" t="s">
        <v>15</v>
      </c>
      <c r="R267" s="2" t="s">
        <v>16</v>
      </c>
      <c r="S267" s="2" t="s">
        <v>17</v>
      </c>
      <c r="U267" s="2" t="s">
        <v>15</v>
      </c>
      <c r="V267" s="2" t="s">
        <v>16</v>
      </c>
      <c r="W267" s="2" t="s">
        <v>17</v>
      </c>
    </row>
    <row r="268" spans="1:24" ht="21" x14ac:dyDescent="0.5">
      <c r="A268" s="2">
        <v>1</v>
      </c>
      <c r="B268" s="2">
        <v>6605.5041010395298</v>
      </c>
      <c r="C268" s="2">
        <v>3023.9562660000001</v>
      </c>
      <c r="D268" s="1"/>
      <c r="E268" s="2">
        <v>1</v>
      </c>
      <c r="F268" s="2">
        <v>6713.2081472485597</v>
      </c>
      <c r="G268" s="2">
        <v>3391.9238679999999</v>
      </c>
      <c r="I268" s="2">
        <v>1</v>
      </c>
      <c r="J268" s="2">
        <v>7566.2007258328304</v>
      </c>
      <c r="K268" s="2">
        <v>70.129434000000003</v>
      </c>
      <c r="M268" s="2">
        <v>1</v>
      </c>
      <c r="N268" s="2">
        <v>6681.4770362187401</v>
      </c>
      <c r="O268" s="2">
        <v>4654.5399180000004</v>
      </c>
      <c r="Q268" s="2">
        <v>1</v>
      </c>
      <c r="R268" s="2">
        <v>7684.9789341267096</v>
      </c>
      <c r="S268" s="2">
        <v>70.393981999999994</v>
      </c>
      <c r="U268" s="2">
        <v>1</v>
      </c>
      <c r="V268" s="2">
        <v>7546.2500667976601</v>
      </c>
      <c r="W268" s="2">
        <v>71.474405000000004</v>
      </c>
    </row>
    <row r="269" spans="1:24" ht="21" x14ac:dyDescent="0.5">
      <c r="A269" s="2">
        <v>2</v>
      </c>
      <c r="B269" s="2">
        <v>6640.4001908171704</v>
      </c>
      <c r="C269" s="2">
        <v>3014.826192</v>
      </c>
      <c r="D269" s="1"/>
      <c r="E269" s="2">
        <v>2</v>
      </c>
      <c r="F269" s="2">
        <v>6587.8526228449</v>
      </c>
      <c r="G269" s="2">
        <v>3337.43741</v>
      </c>
      <c r="I269" s="2">
        <v>2</v>
      </c>
      <c r="J269" s="2">
        <v>7257.4591365263304</v>
      </c>
      <c r="K269" s="2">
        <v>68.213992000000005</v>
      </c>
      <c r="M269" s="2">
        <v>2</v>
      </c>
      <c r="N269" s="2">
        <v>6719.7119003109701</v>
      </c>
      <c r="O269" s="2">
        <v>4720.2659160000003</v>
      </c>
      <c r="Q269" s="2">
        <v>2</v>
      </c>
      <c r="R269" s="2">
        <v>7384.8356154722196</v>
      </c>
      <c r="S269" s="2">
        <v>70.739536000000001</v>
      </c>
      <c r="U269" s="2">
        <v>2</v>
      </c>
      <c r="V269" s="2">
        <v>7462.7776050477096</v>
      </c>
      <c r="W269" s="2">
        <v>70.603251999999998</v>
      </c>
    </row>
    <row r="270" spans="1:24" ht="21" x14ac:dyDescent="0.5">
      <c r="A270" s="2">
        <v>3</v>
      </c>
      <c r="B270" s="2">
        <v>6683.9316989485696</v>
      </c>
      <c r="C270" s="2">
        <v>2999.9691659999999</v>
      </c>
      <c r="D270" s="1"/>
      <c r="E270" s="2">
        <v>3</v>
      </c>
      <c r="F270" s="2">
        <v>6617.0473167616501</v>
      </c>
      <c r="G270" s="2">
        <v>3365.185907</v>
      </c>
      <c r="I270" s="2">
        <v>3</v>
      </c>
      <c r="J270" s="2">
        <v>7541.77580137725</v>
      </c>
      <c r="K270" s="2">
        <v>71.094614000000007</v>
      </c>
      <c r="M270" s="2">
        <v>3</v>
      </c>
      <c r="N270" s="2">
        <v>6780.9143079013402</v>
      </c>
      <c r="O270" s="2">
        <v>4715.9668949999996</v>
      </c>
      <c r="Q270" s="2">
        <v>3</v>
      </c>
      <c r="R270" s="2">
        <v>7352.8376287703004</v>
      </c>
      <c r="S270" s="2">
        <v>68.819404000000006</v>
      </c>
      <c r="U270" s="2">
        <v>3</v>
      </c>
      <c r="V270" s="2">
        <v>7798.9190341512603</v>
      </c>
      <c r="W270" s="2">
        <v>70.826020999999997</v>
      </c>
    </row>
    <row r="271" spans="1:24" ht="21" x14ac:dyDescent="0.5">
      <c r="A271" s="2">
        <v>4</v>
      </c>
      <c r="B271" s="2">
        <v>6678.8835425837096</v>
      </c>
      <c r="C271" s="2">
        <v>3036.4140269999998</v>
      </c>
      <c r="D271" s="1"/>
      <c r="E271" s="2">
        <v>4</v>
      </c>
      <c r="F271" s="2">
        <v>6650.5460956943098</v>
      </c>
      <c r="G271" s="2">
        <v>3389.5139880000002</v>
      </c>
      <c r="I271" s="2">
        <v>4</v>
      </c>
      <c r="J271" s="2">
        <v>7818.0570617610701</v>
      </c>
      <c r="K271" s="2">
        <v>69.629920999999996</v>
      </c>
      <c r="M271" s="2">
        <v>4</v>
      </c>
      <c r="N271" s="2">
        <v>6702.95069611299</v>
      </c>
      <c r="O271" s="2">
        <v>4705.0705310000003</v>
      </c>
      <c r="Q271" s="2">
        <v>4</v>
      </c>
      <c r="R271" s="2">
        <v>7655.0652688693299</v>
      </c>
      <c r="S271" s="2">
        <v>71.287518000000006</v>
      </c>
      <c r="U271" s="2">
        <v>4</v>
      </c>
      <c r="V271" s="2">
        <v>8040.8838928352498</v>
      </c>
      <c r="W271" s="2">
        <v>71.171803999999995</v>
      </c>
    </row>
    <row r="272" spans="1:24" ht="21" x14ac:dyDescent="0.5">
      <c r="A272" s="2">
        <v>5</v>
      </c>
      <c r="B272" s="2">
        <v>6771.0204460032401</v>
      </c>
      <c r="C272" s="2">
        <v>3035.9530869999999</v>
      </c>
      <c r="D272" s="1"/>
      <c r="E272" s="2">
        <v>5</v>
      </c>
      <c r="F272" s="2">
        <v>6730.1922103790503</v>
      </c>
      <c r="G272" s="2">
        <v>3398.1310680000001</v>
      </c>
      <c r="I272" s="2">
        <v>5</v>
      </c>
      <c r="J272" s="2">
        <v>7356.7531596262197</v>
      </c>
      <c r="K272" s="2">
        <v>71.525379999999998</v>
      </c>
      <c r="M272" s="2">
        <v>5</v>
      </c>
      <c r="N272" s="2">
        <v>6938.3936809267498</v>
      </c>
      <c r="O272" s="2">
        <v>4658.9862080000003</v>
      </c>
      <c r="Q272" s="2">
        <v>5</v>
      </c>
      <c r="R272" s="2">
        <v>7378.3224228291601</v>
      </c>
      <c r="S272" s="2">
        <v>71.823543000000001</v>
      </c>
      <c r="U272" s="2">
        <v>5</v>
      </c>
      <c r="V272" s="2">
        <v>7677.7207567898704</v>
      </c>
      <c r="W272" s="2">
        <v>71.079210000000003</v>
      </c>
    </row>
    <row r="273" spans="1:24" ht="21" x14ac:dyDescent="0.5">
      <c r="A273" s="2">
        <v>6</v>
      </c>
      <c r="B273" s="2">
        <v>6806.27599142291</v>
      </c>
      <c r="C273" s="2">
        <v>3021.3165899999999</v>
      </c>
      <c r="D273" s="1"/>
      <c r="E273" s="2">
        <v>6</v>
      </c>
      <c r="F273" s="2">
        <v>6799.74441403727</v>
      </c>
      <c r="G273" s="2">
        <v>3349.9075630000002</v>
      </c>
      <c r="I273" s="2">
        <v>6</v>
      </c>
      <c r="J273" s="2">
        <v>7236.6259950925596</v>
      </c>
      <c r="K273" s="2">
        <v>71.025407999999999</v>
      </c>
      <c r="M273" s="2">
        <v>6</v>
      </c>
      <c r="N273" s="2">
        <v>7011.9234176908703</v>
      </c>
      <c r="O273" s="2">
        <v>4637.6336959999999</v>
      </c>
      <c r="Q273" s="2">
        <v>6</v>
      </c>
      <c r="R273" s="2">
        <v>7560.9059460481003</v>
      </c>
      <c r="S273" s="2">
        <v>70.086770000000001</v>
      </c>
      <c r="U273" s="2">
        <v>6</v>
      </c>
      <c r="V273" s="2">
        <v>8236.7164103377199</v>
      </c>
      <c r="W273" s="2">
        <v>70.944496999999998</v>
      </c>
    </row>
    <row r="274" spans="1:24" ht="21" x14ac:dyDescent="0.5">
      <c r="A274" s="2">
        <v>7</v>
      </c>
      <c r="B274" s="2">
        <v>6685.4070542428499</v>
      </c>
      <c r="C274" s="2">
        <v>3019.112603</v>
      </c>
      <c r="D274" s="1"/>
      <c r="E274" s="2">
        <v>7</v>
      </c>
      <c r="F274" s="2">
        <v>6720.7893468668199</v>
      </c>
      <c r="G274" s="2">
        <v>3383.701724</v>
      </c>
      <c r="I274" s="2">
        <v>7</v>
      </c>
      <c r="J274" s="2">
        <v>7321.8411295018605</v>
      </c>
      <c r="K274" s="2">
        <v>68.526291999999998</v>
      </c>
      <c r="M274" s="2">
        <v>7</v>
      </c>
      <c r="N274" s="2">
        <v>6775.7959718270204</v>
      </c>
      <c r="O274" s="2">
        <v>4691.1812069999996</v>
      </c>
      <c r="Q274" s="2">
        <v>7</v>
      </c>
      <c r="R274" s="2">
        <v>7498.3849605544801</v>
      </c>
      <c r="S274" s="2">
        <v>71.327011999999996</v>
      </c>
      <c r="U274" s="2">
        <v>7</v>
      </c>
      <c r="V274" s="2">
        <v>7569.7142060698097</v>
      </c>
      <c r="W274" s="2">
        <v>70.904720999999995</v>
      </c>
    </row>
    <row r="275" spans="1:24" ht="21" x14ac:dyDescent="0.5">
      <c r="A275" s="2">
        <v>8</v>
      </c>
      <c r="B275" s="2">
        <v>6617.97465645581</v>
      </c>
      <c r="C275" s="2">
        <v>3027.9892100000002</v>
      </c>
      <c r="D275" s="1"/>
      <c r="E275" s="2">
        <v>8</v>
      </c>
      <c r="F275" s="2">
        <v>6579.8563010488797</v>
      </c>
      <c r="G275" s="2">
        <v>3328.8300840000002</v>
      </c>
      <c r="I275" s="2">
        <v>8</v>
      </c>
      <c r="J275" s="2">
        <v>7426.8936574813897</v>
      </c>
      <c r="K275" s="2">
        <v>68.899315000000001</v>
      </c>
      <c r="M275" s="2">
        <v>8</v>
      </c>
      <c r="N275" s="2">
        <v>6983.6606849869404</v>
      </c>
      <c r="O275" s="2">
        <v>4712.2574350000004</v>
      </c>
      <c r="Q275" s="2">
        <v>8</v>
      </c>
      <c r="R275" s="2">
        <v>7652.81868416208</v>
      </c>
      <c r="S275" s="2">
        <v>70.599565999999996</v>
      </c>
      <c r="U275" s="2">
        <v>8</v>
      </c>
      <c r="V275" s="2">
        <v>8117.5681890488404</v>
      </c>
      <c r="W275" s="2">
        <v>70.891784999999999</v>
      </c>
    </row>
    <row r="276" spans="1:24" ht="21" x14ac:dyDescent="0.5">
      <c r="A276" s="2">
        <v>9</v>
      </c>
      <c r="B276" s="2">
        <v>6533.8121143505896</v>
      </c>
      <c r="C276" s="2">
        <v>3015.1704549999999</v>
      </c>
      <c r="D276" s="1"/>
      <c r="E276" s="2">
        <v>9</v>
      </c>
      <c r="F276" s="2">
        <v>6592.8761764185301</v>
      </c>
      <c r="G276" s="2">
        <v>3378.239626</v>
      </c>
      <c r="I276" s="2">
        <v>9</v>
      </c>
      <c r="J276" s="2">
        <v>7611.2050765991398</v>
      </c>
      <c r="K276" s="2">
        <v>67.905337000000003</v>
      </c>
      <c r="M276" s="2">
        <v>9</v>
      </c>
      <c r="N276" s="2">
        <v>6822.3109693311098</v>
      </c>
      <c r="O276" s="2">
        <v>4671.664984</v>
      </c>
      <c r="Q276" s="2">
        <v>9</v>
      </c>
      <c r="R276" s="2">
        <v>7238.9910731216096</v>
      </c>
      <c r="S276" s="2">
        <v>69.267791000000003</v>
      </c>
      <c r="U276" s="2">
        <v>9</v>
      </c>
      <c r="V276" s="2">
        <v>7582.0543104932904</v>
      </c>
      <c r="W276" s="2">
        <v>70.393940000000001</v>
      </c>
    </row>
    <row r="277" spans="1:24" ht="21" x14ac:dyDescent="0.5">
      <c r="A277" s="2">
        <v>10</v>
      </c>
      <c r="B277" s="2">
        <v>6624.8719345503896</v>
      </c>
      <c r="C277" s="2">
        <v>3012.9978879999999</v>
      </c>
      <c r="D277" s="1"/>
      <c r="E277" s="2">
        <v>10</v>
      </c>
      <c r="F277" s="2">
        <v>6649.9056350461797</v>
      </c>
      <c r="G277" s="2">
        <v>3379.1162890000001</v>
      </c>
      <c r="I277" s="2">
        <v>10</v>
      </c>
      <c r="J277" s="2">
        <v>7075.8661633032098</v>
      </c>
      <c r="K277" s="2">
        <v>67.498306999999997</v>
      </c>
      <c r="M277" s="2">
        <v>10</v>
      </c>
      <c r="N277" s="2">
        <v>6868.8005729698598</v>
      </c>
      <c r="O277" s="2">
        <v>4699.0901210000002</v>
      </c>
      <c r="Q277" s="2">
        <v>10</v>
      </c>
      <c r="R277" s="2">
        <v>7630.1877761548503</v>
      </c>
      <c r="S277" s="2">
        <v>71.073730999999995</v>
      </c>
      <c r="U277" s="2">
        <v>10</v>
      </c>
      <c r="V277" s="2">
        <v>7831.0544910305798</v>
      </c>
      <c r="W277" s="2">
        <v>68.827602999999996</v>
      </c>
    </row>
    <row r="278" spans="1:24" ht="21" x14ac:dyDescent="0.5">
      <c r="A278" s="2">
        <v>11</v>
      </c>
      <c r="B278" s="2">
        <v>6719.91017489767</v>
      </c>
      <c r="C278" s="2">
        <v>3018.6341689999999</v>
      </c>
      <c r="D278" s="1"/>
      <c r="E278" s="2">
        <v>11</v>
      </c>
      <c r="F278" s="2">
        <v>6761.1269686169799</v>
      </c>
      <c r="G278" s="2">
        <v>3413.3824760000002</v>
      </c>
      <c r="I278" s="2">
        <v>11</v>
      </c>
      <c r="J278" s="2">
        <v>7284.8790839959402</v>
      </c>
      <c r="K278" s="2">
        <v>68.994286000000002</v>
      </c>
      <c r="M278" s="2">
        <v>11</v>
      </c>
      <c r="N278" s="2">
        <v>6724.6720477691597</v>
      </c>
      <c r="O278" s="2">
        <v>4712.0304829999995</v>
      </c>
      <c r="Q278" s="2">
        <v>11</v>
      </c>
      <c r="R278" s="2">
        <v>7477.7330009045099</v>
      </c>
      <c r="S278" s="2">
        <v>71.038353999999998</v>
      </c>
      <c r="U278" s="2">
        <v>11</v>
      </c>
      <c r="V278" s="2">
        <v>7570.4521560622998</v>
      </c>
      <c r="W278" s="2">
        <v>70.581856999999999</v>
      </c>
    </row>
    <row r="279" spans="1:24" ht="21" x14ac:dyDescent="0.5">
      <c r="A279" s="2">
        <v>12</v>
      </c>
      <c r="B279" s="2">
        <v>6889.75005553144</v>
      </c>
      <c r="C279" s="2">
        <v>3029.1164199999998</v>
      </c>
      <c r="D279" s="1"/>
      <c r="E279" s="2">
        <v>12</v>
      </c>
      <c r="F279" s="2">
        <v>6670.9158455863198</v>
      </c>
      <c r="G279" s="2">
        <v>3363.6896040000001</v>
      </c>
      <c r="I279" s="2">
        <v>12</v>
      </c>
      <c r="J279" s="2">
        <v>7301.42655866112</v>
      </c>
      <c r="K279" s="2">
        <v>72.265116000000006</v>
      </c>
      <c r="M279" s="2">
        <v>12</v>
      </c>
      <c r="N279" s="2">
        <v>7088.11115189471</v>
      </c>
      <c r="O279" s="2">
        <v>4642.7509689999997</v>
      </c>
      <c r="Q279" s="2">
        <v>12</v>
      </c>
      <c r="R279" s="2">
        <v>7561.9376779602699</v>
      </c>
      <c r="S279" s="2">
        <v>70.115323000000004</v>
      </c>
      <c r="U279" s="2">
        <v>12</v>
      </c>
      <c r="V279" s="2">
        <v>7680.66601465451</v>
      </c>
      <c r="W279" s="2">
        <v>69.046515999999997</v>
      </c>
    </row>
    <row r="280" spans="1:24" ht="21" x14ac:dyDescent="0.5">
      <c r="A280" s="2">
        <v>13</v>
      </c>
      <c r="B280" s="2">
        <v>6640.4190971820199</v>
      </c>
      <c r="C280" s="2">
        <v>2989.7800440000001</v>
      </c>
      <c r="D280" s="1"/>
      <c r="E280" s="2">
        <v>13</v>
      </c>
      <c r="F280" s="2">
        <v>6694.0080800216501</v>
      </c>
      <c r="G280" s="2">
        <v>3366.7889249999998</v>
      </c>
      <c r="I280" s="2">
        <v>13</v>
      </c>
      <c r="J280" s="2">
        <v>7120.7818782753702</v>
      </c>
      <c r="K280" s="2">
        <v>70.724475999999996</v>
      </c>
      <c r="M280" s="2">
        <v>13</v>
      </c>
      <c r="N280" s="2">
        <v>6798.8069463542897</v>
      </c>
      <c r="O280" s="2">
        <v>4710.5893900000001</v>
      </c>
      <c r="Q280" s="2">
        <v>13</v>
      </c>
      <c r="R280" s="2">
        <v>7577.60841642986</v>
      </c>
      <c r="S280" s="2">
        <v>70.344831999999997</v>
      </c>
      <c r="U280" s="2">
        <v>13</v>
      </c>
      <c r="V280" s="2">
        <v>7840.3414613535197</v>
      </c>
      <c r="W280" s="2">
        <v>68.932850999999999</v>
      </c>
    </row>
    <row r="281" spans="1:24" ht="21" x14ac:dyDescent="0.5">
      <c r="A281" s="2">
        <v>14</v>
      </c>
      <c r="B281" s="2">
        <v>6635.3746579570497</v>
      </c>
      <c r="C281" s="2">
        <v>3029.1007599999998</v>
      </c>
      <c r="D281" s="1"/>
      <c r="E281" s="2">
        <v>14</v>
      </c>
      <c r="F281" s="2">
        <v>6642.1608676308697</v>
      </c>
      <c r="G281" s="2">
        <v>3397.491458</v>
      </c>
      <c r="I281" s="2">
        <v>14</v>
      </c>
      <c r="J281" s="2">
        <v>7057.6672968192597</v>
      </c>
      <c r="K281" s="2">
        <v>68.812696000000003</v>
      </c>
      <c r="M281" s="2">
        <v>14</v>
      </c>
      <c r="N281" s="2">
        <v>6772.7762420173503</v>
      </c>
      <c r="O281" s="2">
        <v>4605.3762049999996</v>
      </c>
      <c r="Q281" s="2">
        <v>14</v>
      </c>
      <c r="R281" s="2">
        <v>7505.3083216921304</v>
      </c>
      <c r="S281" s="2">
        <v>70.436036999999999</v>
      </c>
      <c r="U281" s="2">
        <v>14</v>
      </c>
      <c r="V281" s="2">
        <v>7773.0264269770696</v>
      </c>
      <c r="W281" s="2">
        <v>70.017940999999993</v>
      </c>
    </row>
    <row r="282" spans="1:24" ht="21" x14ac:dyDescent="0.5">
      <c r="A282" s="2">
        <v>15</v>
      </c>
      <c r="B282" s="2">
        <v>6705.5916641387103</v>
      </c>
      <c r="C282" s="2">
        <v>3014.0287819999999</v>
      </c>
      <c r="D282" s="1"/>
      <c r="E282" s="2">
        <v>15</v>
      </c>
      <c r="F282" s="2">
        <v>6709.3798903245297</v>
      </c>
      <c r="G282" s="2">
        <v>3405.0047399999999</v>
      </c>
      <c r="I282" s="2">
        <v>15</v>
      </c>
      <c r="J282" s="2">
        <v>7232.2106053202797</v>
      </c>
      <c r="K282" s="2">
        <v>67.781879000000004</v>
      </c>
      <c r="M282" s="2">
        <v>15</v>
      </c>
      <c r="N282" s="2">
        <v>6657.8908281195399</v>
      </c>
      <c r="O282" s="2">
        <v>4737.3333009999997</v>
      </c>
      <c r="Q282" s="2">
        <v>15</v>
      </c>
      <c r="R282" s="2">
        <v>7791.9848173815599</v>
      </c>
      <c r="S282" s="2">
        <v>68.971997000000002</v>
      </c>
      <c r="U282" s="2">
        <v>15</v>
      </c>
      <c r="V282" s="2">
        <v>7934.1382298130402</v>
      </c>
      <c r="W282" s="2">
        <v>70.379103000000001</v>
      </c>
    </row>
    <row r="283" spans="1:24" ht="21" x14ac:dyDescent="0.5">
      <c r="A283" s="2">
        <v>16</v>
      </c>
      <c r="B283" s="2">
        <v>6610.8017899371798</v>
      </c>
      <c r="C283" s="2">
        <v>2996.4067300000002</v>
      </c>
      <c r="D283" s="1"/>
      <c r="E283" s="2">
        <v>16</v>
      </c>
      <c r="F283" s="2">
        <v>6618.5511685442498</v>
      </c>
      <c r="G283" s="2">
        <v>3372.0005849999998</v>
      </c>
      <c r="I283" s="2">
        <v>16</v>
      </c>
      <c r="J283" s="2">
        <v>7407.6301141719296</v>
      </c>
      <c r="K283" s="2">
        <v>69.868380000000002</v>
      </c>
      <c r="M283" s="2">
        <v>16</v>
      </c>
      <c r="N283" s="2">
        <v>6708.9322975148798</v>
      </c>
      <c r="O283" s="2">
        <v>4702.3221839999997</v>
      </c>
      <c r="Q283" s="2">
        <v>16</v>
      </c>
      <c r="R283" s="2">
        <v>7312.4408799517896</v>
      </c>
      <c r="S283" s="2">
        <v>70.809865000000002</v>
      </c>
      <c r="U283" s="2">
        <v>16</v>
      </c>
      <c r="V283" s="2">
        <v>7995.9664948889704</v>
      </c>
      <c r="W283" s="2">
        <v>70.982643999999993</v>
      </c>
    </row>
    <row r="284" spans="1:24" ht="21" x14ac:dyDescent="0.5">
      <c r="A284" s="2">
        <v>17</v>
      </c>
      <c r="B284" s="2">
        <v>6598.4034233510602</v>
      </c>
      <c r="C284" s="2">
        <v>3003.2176800000002</v>
      </c>
      <c r="D284" s="1"/>
      <c r="E284" s="2">
        <v>17</v>
      </c>
      <c r="F284" s="2">
        <v>6614.3455255448498</v>
      </c>
      <c r="G284" s="2">
        <v>3397.4175270000001</v>
      </c>
      <c r="I284" s="2">
        <v>17</v>
      </c>
      <c r="J284" s="2">
        <v>7613.4739699911097</v>
      </c>
      <c r="K284" s="2">
        <v>71.007087999999996</v>
      </c>
      <c r="M284" s="2">
        <v>17</v>
      </c>
      <c r="N284" s="2">
        <v>6762.4279636314704</v>
      </c>
      <c r="O284" s="2">
        <v>4673.6081889999996</v>
      </c>
      <c r="Q284" s="2">
        <v>17</v>
      </c>
      <c r="R284" s="2">
        <v>7213.6285126477296</v>
      </c>
      <c r="S284" s="2">
        <v>72.308431999999996</v>
      </c>
      <c r="U284" s="2">
        <v>17</v>
      </c>
      <c r="V284" s="2">
        <v>8209.0678072555493</v>
      </c>
      <c r="W284" s="2">
        <v>71.137822999999997</v>
      </c>
    </row>
    <row r="285" spans="1:24" ht="21" x14ac:dyDescent="0.5">
      <c r="A285" s="2">
        <v>18</v>
      </c>
      <c r="B285" s="2">
        <v>6683.6831725975699</v>
      </c>
      <c r="C285" s="2">
        <v>2994.0810710000001</v>
      </c>
      <c r="D285" s="1"/>
      <c r="E285" s="2">
        <v>18</v>
      </c>
      <c r="F285" s="2">
        <v>6692.9229325709202</v>
      </c>
      <c r="G285" s="2">
        <v>3373.3335529999999</v>
      </c>
      <c r="I285" s="2">
        <v>18</v>
      </c>
      <c r="J285" s="2">
        <v>7256.5070834382896</v>
      </c>
      <c r="K285" s="2">
        <v>71.531729999999996</v>
      </c>
      <c r="M285" s="2">
        <v>18</v>
      </c>
      <c r="N285" s="2">
        <v>6724.6720477691597</v>
      </c>
      <c r="O285" s="2">
        <v>4687.2602569999999</v>
      </c>
      <c r="Q285" s="2">
        <v>18</v>
      </c>
      <c r="R285" s="2">
        <v>7592.4955193648002</v>
      </c>
      <c r="S285" s="2">
        <v>71.428223000000003</v>
      </c>
      <c r="U285" s="2">
        <v>18</v>
      </c>
      <c r="V285" s="2">
        <v>7501.5652780731998</v>
      </c>
      <c r="W285" s="2">
        <v>70.677954</v>
      </c>
    </row>
    <row r="286" spans="1:24" ht="21" x14ac:dyDescent="0.5">
      <c r="A286" s="2">
        <v>19</v>
      </c>
      <c r="B286" s="2">
        <v>6595.6568758281501</v>
      </c>
      <c r="C286" s="2">
        <v>3017.4594670000001</v>
      </c>
      <c r="D286" s="1"/>
      <c r="E286" s="2">
        <v>19</v>
      </c>
      <c r="F286" s="2">
        <v>6681.85597318894</v>
      </c>
      <c r="G286" s="2">
        <v>3346.6605650000001</v>
      </c>
      <c r="I286" s="2">
        <v>19</v>
      </c>
      <c r="J286" s="2">
        <v>7437.8183149626402</v>
      </c>
      <c r="K286" s="2">
        <v>71.212526999999994</v>
      </c>
      <c r="M286" s="2">
        <v>19</v>
      </c>
      <c r="N286" s="2">
        <v>6778.4143780324202</v>
      </c>
      <c r="O286" s="2">
        <v>4693.8857090000001</v>
      </c>
      <c r="Q286" s="2">
        <v>19</v>
      </c>
      <c r="R286" s="2">
        <v>7217.6815771014599</v>
      </c>
      <c r="S286" s="2">
        <v>70.729152999999997</v>
      </c>
      <c r="U286" s="2">
        <v>19</v>
      </c>
      <c r="V286" s="2">
        <v>8048.1819308844297</v>
      </c>
      <c r="W286" s="2">
        <v>69.402770000000004</v>
      </c>
    </row>
    <row r="287" spans="1:24" ht="21" x14ac:dyDescent="0.5">
      <c r="A287" s="2">
        <v>20</v>
      </c>
      <c r="B287" s="2">
        <v>6642.2903793762198</v>
      </c>
      <c r="C287" s="2">
        <v>2995.4542670000001</v>
      </c>
      <c r="D287" s="1"/>
      <c r="E287" s="2">
        <v>20</v>
      </c>
      <c r="F287" s="2">
        <v>6601.6124814054001</v>
      </c>
      <c r="G287" s="2">
        <v>3359.879203</v>
      </c>
      <c r="I287" s="2">
        <v>20</v>
      </c>
      <c r="J287" s="2">
        <v>7236.0145686867099</v>
      </c>
      <c r="K287" s="2">
        <v>69.573937999999998</v>
      </c>
      <c r="M287" s="2">
        <v>20</v>
      </c>
      <c r="N287" s="2">
        <v>6821.9725700210101</v>
      </c>
      <c r="O287" s="2">
        <v>4709.1216979999999</v>
      </c>
      <c r="Q287" s="2">
        <v>20</v>
      </c>
      <c r="R287" s="2">
        <v>7403.58966246404</v>
      </c>
      <c r="S287" s="2">
        <v>70.650600999999995</v>
      </c>
      <c r="U287" s="2">
        <v>20</v>
      </c>
      <c r="V287" s="2">
        <v>7959.0223063360399</v>
      </c>
      <c r="W287" s="2">
        <v>71.743930000000006</v>
      </c>
    </row>
    <row r="288" spans="1:24" ht="21" x14ac:dyDescent="0.5">
      <c r="A288" s="2" t="s">
        <v>19</v>
      </c>
      <c r="B288" s="3">
        <f>AVERAGE(B268:B287)</f>
        <v>6668.4981510605912</v>
      </c>
      <c r="C288" s="3">
        <f>AVERAGE(C268:C287)</f>
        <v>3014.7492437000001</v>
      </c>
      <c r="D288" s="1"/>
      <c r="F288" s="3">
        <f>AVERAGE(F268:F287)</f>
        <v>6666.4448999890428</v>
      </c>
      <c r="G288" s="3">
        <f>AVERAGE(G268:G287)</f>
        <v>3374.8818081499994</v>
      </c>
      <c r="H288" s="3"/>
      <c r="J288" s="3">
        <f>AVERAGE(J268:J287)</f>
        <v>7358.0543690712266</v>
      </c>
      <c r="K288" s="3">
        <f>AVERAGE(K268:K287)</f>
        <v>69.81100579999999</v>
      </c>
      <c r="L288" s="3"/>
      <c r="N288" s="3">
        <f>AVERAGE(N268:N287)</f>
        <v>6806.2307855700301</v>
      </c>
      <c r="O288" s="3">
        <f>AVERAGE(O268:O287)</f>
        <v>4687.0467648000013</v>
      </c>
      <c r="P288" s="3"/>
      <c r="R288" s="3">
        <f>AVERAGE(R268:R287)</f>
        <v>7484.5868348003514</v>
      </c>
      <c r="S288" s="3">
        <f>AVERAGE(S268:S287)</f>
        <v>70.6125835</v>
      </c>
      <c r="T288" s="3"/>
      <c r="V288" s="3">
        <f>AVERAGE(V268:V287)</f>
        <v>7818.8043534450289</v>
      </c>
      <c r="W288" s="3">
        <f>AVERAGE(W268:W287)</f>
        <v>70.501031349999991</v>
      </c>
      <c r="X288" s="3"/>
    </row>
    <row r="289" spans="1:24" ht="21" x14ac:dyDescent="0.5">
      <c r="A289" s="2" t="s">
        <v>36</v>
      </c>
      <c r="B289" s="2" cm="1">
        <f t="array" ref="B289">[1]!SignTest(B268:B287,F268:F287,2)</f>
        <v>0.50344467163085949</v>
      </c>
      <c r="C289" s="2" cm="1">
        <f t="array" ref="C289">[1]!SignTest(C268:C287,G268:G287,2)</f>
        <v>1.9073486328125E-6</v>
      </c>
      <c r="D289" s="1"/>
    </row>
    <row r="290" spans="1:24" ht="21" x14ac:dyDescent="0.5">
      <c r="A290" s="10" t="s">
        <v>12</v>
      </c>
      <c r="B290" s="10"/>
      <c r="C290" s="10"/>
      <c r="E290" s="10" t="s">
        <v>12</v>
      </c>
      <c r="F290" s="10"/>
      <c r="G290" s="10"/>
      <c r="H290" s="1"/>
      <c r="I290" s="10" t="s">
        <v>12</v>
      </c>
      <c r="J290" s="10"/>
      <c r="K290" s="10"/>
      <c r="L290" s="1"/>
      <c r="M290" s="10" t="s">
        <v>12</v>
      </c>
      <c r="N290" s="10"/>
      <c r="O290" s="10"/>
      <c r="P290" s="1"/>
      <c r="Q290" s="10" t="s">
        <v>12</v>
      </c>
      <c r="R290" s="10"/>
      <c r="S290" s="10"/>
      <c r="T290" s="1"/>
      <c r="U290" s="10" t="s">
        <v>12</v>
      </c>
      <c r="V290" s="10"/>
      <c r="W290" s="10"/>
      <c r="X290" s="1"/>
    </row>
    <row r="291" spans="1:24" x14ac:dyDescent="0.35">
      <c r="A291" s="2" t="s">
        <v>15</v>
      </c>
      <c r="B291" s="2" t="s">
        <v>16</v>
      </c>
      <c r="C291" s="2" t="s">
        <v>17</v>
      </c>
      <c r="E291" s="2" t="s">
        <v>15</v>
      </c>
      <c r="F291" s="2" t="s">
        <v>16</v>
      </c>
      <c r="G291" s="2" t="s">
        <v>17</v>
      </c>
      <c r="I291" s="2" t="s">
        <v>15</v>
      </c>
      <c r="J291" s="2" t="s">
        <v>16</v>
      </c>
      <c r="K291" s="2" t="s">
        <v>17</v>
      </c>
      <c r="M291" s="2" t="s">
        <v>15</v>
      </c>
      <c r="N291" s="2" t="s">
        <v>16</v>
      </c>
      <c r="O291" s="2" t="s">
        <v>17</v>
      </c>
      <c r="Q291" s="2" t="s">
        <v>15</v>
      </c>
      <c r="R291" s="2" t="s">
        <v>16</v>
      </c>
      <c r="S291" s="2" t="s">
        <v>17</v>
      </c>
      <c r="U291" s="2" t="s">
        <v>15</v>
      </c>
      <c r="V291" s="2" t="s">
        <v>16</v>
      </c>
      <c r="W291" s="2" t="s">
        <v>17</v>
      </c>
    </row>
    <row r="292" spans="1:24" x14ac:dyDescent="0.35">
      <c r="A292" s="2">
        <v>1</v>
      </c>
      <c r="B292" s="2">
        <v>75468.668830466806</v>
      </c>
      <c r="C292" s="2">
        <v>3734.283312</v>
      </c>
      <c r="E292" s="2">
        <v>1</v>
      </c>
      <c r="F292" s="2">
        <v>74625.701954633405</v>
      </c>
      <c r="G292" s="2">
        <v>3769.5088949999999</v>
      </c>
      <c r="I292" s="2">
        <v>1</v>
      </c>
      <c r="J292" s="2">
        <v>84990.569074279905</v>
      </c>
      <c r="K292" s="2">
        <v>73.715912000000003</v>
      </c>
      <c r="M292" s="2">
        <v>1</v>
      </c>
      <c r="N292" s="2">
        <v>75394.091518863206</v>
      </c>
      <c r="O292" s="2">
        <v>5323.3743510000004</v>
      </c>
      <c r="Q292" s="2">
        <v>1</v>
      </c>
      <c r="R292" s="2">
        <v>81333.1561583312</v>
      </c>
      <c r="S292" s="2">
        <v>72.887325000000004</v>
      </c>
      <c r="U292" s="2">
        <v>1</v>
      </c>
      <c r="V292" s="2">
        <v>86356.756736400101</v>
      </c>
      <c r="W292" s="2">
        <v>71.645112999999995</v>
      </c>
    </row>
    <row r="293" spans="1:24" x14ac:dyDescent="0.35">
      <c r="A293" s="2">
        <v>2</v>
      </c>
      <c r="B293" s="2">
        <v>75483.812511543496</v>
      </c>
      <c r="C293" s="2">
        <v>3694.8566049999999</v>
      </c>
      <c r="E293" s="2">
        <v>2</v>
      </c>
      <c r="F293" s="2">
        <v>74090.493718173806</v>
      </c>
      <c r="G293" s="2">
        <v>3757.5223190000002</v>
      </c>
      <c r="I293" s="2">
        <v>2</v>
      </c>
      <c r="J293" s="2">
        <v>87212.629614508696</v>
      </c>
      <c r="K293" s="2">
        <v>71.736123000000006</v>
      </c>
      <c r="M293" s="2">
        <v>2</v>
      </c>
      <c r="N293" s="2">
        <v>77031.537551629997</v>
      </c>
      <c r="O293" s="2">
        <v>5348.4970990000002</v>
      </c>
      <c r="Q293" s="2">
        <v>2</v>
      </c>
      <c r="R293" s="2">
        <v>81223.299356215794</v>
      </c>
      <c r="S293" s="2">
        <v>71.801134000000005</v>
      </c>
      <c r="U293" s="2">
        <v>2</v>
      </c>
      <c r="V293" s="2">
        <v>89350.937963777993</v>
      </c>
      <c r="W293" s="2">
        <v>71.940867999999995</v>
      </c>
    </row>
    <row r="294" spans="1:24" x14ac:dyDescent="0.35">
      <c r="A294" s="2">
        <v>3</v>
      </c>
      <c r="B294" s="2">
        <v>73821.2500331341</v>
      </c>
      <c r="C294" s="2">
        <v>3727.3330040000001</v>
      </c>
      <c r="E294" s="2">
        <v>3</v>
      </c>
      <c r="F294" s="2">
        <v>74573.8816876114</v>
      </c>
      <c r="G294" s="2">
        <v>3735.572975</v>
      </c>
      <c r="I294" s="2">
        <v>3</v>
      </c>
      <c r="J294" s="2">
        <v>83680.363009558394</v>
      </c>
      <c r="K294" s="2">
        <v>73.376536999999999</v>
      </c>
      <c r="M294" s="2">
        <v>3</v>
      </c>
      <c r="N294" s="2">
        <v>76653.400340480104</v>
      </c>
      <c r="O294" s="2">
        <v>5357.436702</v>
      </c>
      <c r="Q294" s="2">
        <v>3</v>
      </c>
      <c r="R294" s="2">
        <v>80782.866333738202</v>
      </c>
      <c r="S294" s="2">
        <v>72.685976999999994</v>
      </c>
      <c r="U294" s="2">
        <v>3</v>
      </c>
      <c r="V294" s="2">
        <v>89685.245563638906</v>
      </c>
      <c r="W294" s="2">
        <v>71.704857000000004</v>
      </c>
    </row>
    <row r="295" spans="1:24" x14ac:dyDescent="0.35">
      <c r="A295" s="2">
        <v>4</v>
      </c>
      <c r="B295" s="2">
        <v>74536.609265920401</v>
      </c>
      <c r="C295" s="2">
        <v>3742.951579</v>
      </c>
      <c r="E295" s="2">
        <v>4</v>
      </c>
      <c r="F295" s="2">
        <v>74441.531678222498</v>
      </c>
      <c r="G295" s="2">
        <v>3794.589551</v>
      </c>
      <c r="I295" s="2">
        <v>4</v>
      </c>
      <c r="J295" s="2">
        <v>87058.102593790798</v>
      </c>
      <c r="K295" s="2">
        <v>73.226410999999999</v>
      </c>
      <c r="M295" s="2">
        <v>4</v>
      </c>
      <c r="N295" s="2">
        <v>76019.294116068602</v>
      </c>
      <c r="O295" s="2">
        <v>5329.6135219999996</v>
      </c>
      <c r="Q295" s="2">
        <v>4</v>
      </c>
      <c r="R295" s="2">
        <v>81008.638924790997</v>
      </c>
      <c r="S295" s="2">
        <v>72.735755999999995</v>
      </c>
      <c r="U295" s="2">
        <v>4</v>
      </c>
      <c r="V295" s="2">
        <v>86557.271004844602</v>
      </c>
      <c r="W295" s="2">
        <v>69.858604</v>
      </c>
    </row>
    <row r="296" spans="1:24" x14ac:dyDescent="0.35">
      <c r="A296" s="2">
        <v>5</v>
      </c>
      <c r="B296" s="2">
        <v>74548.250183459502</v>
      </c>
      <c r="C296" s="2">
        <v>3717.5850420000002</v>
      </c>
      <c r="E296" s="2">
        <v>5</v>
      </c>
      <c r="F296" s="2">
        <v>74324.880392618201</v>
      </c>
      <c r="G296" s="2">
        <v>3797.1971669999998</v>
      </c>
      <c r="I296" s="2">
        <v>5</v>
      </c>
      <c r="J296" s="2">
        <v>88117.747876117297</v>
      </c>
      <c r="K296" s="2">
        <v>73.073798999999994</v>
      </c>
      <c r="M296" s="2">
        <v>5</v>
      </c>
      <c r="N296" s="2">
        <v>76587.943489192694</v>
      </c>
      <c r="O296" s="2">
        <v>5317.0801069999998</v>
      </c>
      <c r="Q296" s="2">
        <v>5</v>
      </c>
      <c r="R296" s="2">
        <v>80498.388952153095</v>
      </c>
      <c r="S296" s="2">
        <v>72.831425999999993</v>
      </c>
      <c r="U296" s="2">
        <v>5</v>
      </c>
      <c r="V296" s="2">
        <v>84867.659300250103</v>
      </c>
      <c r="W296" s="2">
        <v>72.000249999999994</v>
      </c>
    </row>
    <row r="297" spans="1:24" x14ac:dyDescent="0.35">
      <c r="A297" s="2">
        <v>6</v>
      </c>
      <c r="B297" s="2">
        <v>73683.640627632994</v>
      </c>
      <c r="C297" s="2">
        <v>3757.252504</v>
      </c>
      <c r="E297" s="2">
        <v>6</v>
      </c>
      <c r="F297" s="2">
        <v>74151.093730018707</v>
      </c>
      <c r="G297" s="2">
        <v>3767.5260549999998</v>
      </c>
      <c r="I297" s="2">
        <v>6</v>
      </c>
      <c r="J297" s="2">
        <v>82120.840806623193</v>
      </c>
      <c r="K297" s="2">
        <v>72.177582000000001</v>
      </c>
      <c r="M297" s="2">
        <v>6</v>
      </c>
      <c r="N297" s="2">
        <v>76675.090935006097</v>
      </c>
      <c r="O297" s="2">
        <v>5321.8666510000003</v>
      </c>
      <c r="Q297" s="2">
        <v>6</v>
      </c>
      <c r="R297" s="2">
        <v>80217.700523459105</v>
      </c>
      <c r="S297" s="2">
        <v>73.258743999999993</v>
      </c>
      <c r="U297" s="2">
        <v>6</v>
      </c>
      <c r="V297" s="2">
        <v>86240.193982709403</v>
      </c>
      <c r="W297" s="2">
        <v>71.364329999999995</v>
      </c>
    </row>
    <row r="298" spans="1:24" x14ac:dyDescent="0.35">
      <c r="A298" s="2">
        <v>7</v>
      </c>
      <c r="B298" s="2">
        <v>75222.955965463101</v>
      </c>
      <c r="C298" s="2">
        <v>3733.250505</v>
      </c>
      <c r="E298" s="2">
        <v>7</v>
      </c>
      <c r="F298" s="2">
        <v>74090.493718173806</v>
      </c>
      <c r="G298" s="2">
        <v>3789.4321719999998</v>
      </c>
      <c r="I298" s="2">
        <v>7</v>
      </c>
      <c r="J298" s="2">
        <v>86984.697672813403</v>
      </c>
      <c r="K298" s="2">
        <v>70.952653999999995</v>
      </c>
      <c r="M298" s="2">
        <v>7</v>
      </c>
      <c r="N298" s="2">
        <v>76019.294116068602</v>
      </c>
      <c r="O298" s="2">
        <v>5361.1950999999999</v>
      </c>
      <c r="Q298" s="2">
        <v>7</v>
      </c>
      <c r="R298" s="2">
        <v>80677.999429721298</v>
      </c>
      <c r="S298" s="2">
        <v>72.259860000000003</v>
      </c>
      <c r="U298" s="2">
        <v>7</v>
      </c>
      <c r="V298" s="2">
        <v>85548.656861374096</v>
      </c>
      <c r="W298" s="2">
        <v>71.901210000000006</v>
      </c>
    </row>
    <row r="299" spans="1:24" x14ac:dyDescent="0.35">
      <c r="A299" s="2">
        <v>8</v>
      </c>
      <c r="B299" s="2">
        <v>74250.471170378296</v>
      </c>
      <c r="C299" s="2">
        <v>3725.27196</v>
      </c>
      <c r="E299" s="2">
        <v>8</v>
      </c>
      <c r="F299" s="2">
        <v>74228.103123674897</v>
      </c>
      <c r="G299" s="2">
        <v>3759.9030889999999</v>
      </c>
      <c r="I299" s="2">
        <v>8</v>
      </c>
      <c r="J299" s="2">
        <v>88993.865763308393</v>
      </c>
      <c r="K299" s="2">
        <v>73.136037000000002</v>
      </c>
      <c r="M299" s="2">
        <v>8</v>
      </c>
      <c r="N299" s="2">
        <v>76569.689518159794</v>
      </c>
      <c r="O299" s="2">
        <v>5391.6764439999997</v>
      </c>
      <c r="Q299" s="2">
        <v>8</v>
      </c>
      <c r="R299" s="2">
        <v>84314.604038477395</v>
      </c>
      <c r="S299" s="2">
        <v>72.788915000000003</v>
      </c>
      <c r="U299" s="2">
        <v>8</v>
      </c>
      <c r="V299" s="2">
        <v>89075.367832767195</v>
      </c>
      <c r="W299" s="2">
        <v>69.096686000000005</v>
      </c>
    </row>
    <row r="300" spans="1:24" x14ac:dyDescent="0.35">
      <c r="A300" s="2">
        <v>9</v>
      </c>
      <c r="B300" s="2">
        <v>74980.693932782</v>
      </c>
      <c r="C300" s="2">
        <v>3698.0481730000001</v>
      </c>
      <c r="E300" s="2">
        <v>9</v>
      </c>
      <c r="F300" s="2">
        <v>74278.102792667996</v>
      </c>
      <c r="G300" s="2">
        <v>3782.5862980000002</v>
      </c>
      <c r="I300" s="2">
        <v>9</v>
      </c>
      <c r="J300" s="2">
        <v>90494.948257599797</v>
      </c>
      <c r="K300" s="2">
        <v>72.147709000000006</v>
      </c>
      <c r="M300" s="2">
        <v>9</v>
      </c>
      <c r="N300" s="2">
        <v>77003.924521205001</v>
      </c>
      <c r="O300" s="2">
        <v>5391.1006010000001</v>
      </c>
      <c r="Q300" s="2">
        <v>9</v>
      </c>
      <c r="R300" s="2">
        <v>81971.445516861</v>
      </c>
      <c r="S300" s="2">
        <v>73.894959999999998</v>
      </c>
      <c r="U300" s="2">
        <v>9</v>
      </c>
      <c r="V300" s="2">
        <v>86074.087438102593</v>
      </c>
      <c r="W300" s="2">
        <v>69.854085999999995</v>
      </c>
    </row>
    <row r="301" spans="1:24" x14ac:dyDescent="0.35">
      <c r="A301" s="2">
        <v>10</v>
      </c>
      <c r="B301" s="2">
        <v>74427.665621845401</v>
      </c>
      <c r="C301" s="2">
        <v>3732.3243200000002</v>
      </c>
      <c r="E301" s="2">
        <v>10</v>
      </c>
      <c r="F301" s="2">
        <v>74625.701954633405</v>
      </c>
      <c r="G301" s="2">
        <v>3784.5258020000001</v>
      </c>
      <c r="I301" s="2">
        <v>10</v>
      </c>
      <c r="J301" s="2">
        <v>87477.388496114698</v>
      </c>
      <c r="K301" s="2">
        <v>73.379874999999998</v>
      </c>
      <c r="M301" s="2">
        <v>10</v>
      </c>
      <c r="N301" s="2">
        <v>75802.215350836894</v>
      </c>
      <c r="O301" s="2">
        <v>5370.5607490000002</v>
      </c>
      <c r="Q301" s="2">
        <v>10</v>
      </c>
      <c r="R301" s="2">
        <v>81329.3969109561</v>
      </c>
      <c r="S301" s="2">
        <v>72.548693999999998</v>
      </c>
      <c r="U301" s="2">
        <v>10</v>
      </c>
      <c r="V301" s="2">
        <v>86425.179425897106</v>
      </c>
      <c r="W301" s="2">
        <v>72.864366000000004</v>
      </c>
    </row>
    <row r="302" spans="1:24" x14ac:dyDescent="0.35">
      <c r="A302" s="2">
        <v>11</v>
      </c>
      <c r="B302" s="2">
        <v>75555.102324875203</v>
      </c>
      <c r="C302" s="2">
        <v>3745.309381</v>
      </c>
      <c r="E302" s="2">
        <v>11</v>
      </c>
      <c r="F302" s="2">
        <v>74229.2453060103</v>
      </c>
      <c r="G302" s="2">
        <v>3775.4273119999998</v>
      </c>
      <c r="I302" s="2">
        <v>11</v>
      </c>
      <c r="J302" s="2">
        <v>84115.966890754004</v>
      </c>
      <c r="K302" s="2">
        <v>73.014703999999995</v>
      </c>
      <c r="M302" s="2">
        <v>11</v>
      </c>
      <c r="N302" s="2">
        <v>76653.400340480104</v>
      </c>
      <c r="O302" s="2">
        <v>5325.2346020000005</v>
      </c>
      <c r="Q302" s="2">
        <v>11</v>
      </c>
      <c r="R302" s="2">
        <v>80559.813562083204</v>
      </c>
      <c r="S302" s="2">
        <v>72.343339999999998</v>
      </c>
      <c r="U302" s="2">
        <v>11</v>
      </c>
      <c r="V302" s="2">
        <v>90426.885032678299</v>
      </c>
      <c r="W302" s="2">
        <v>71.508146999999994</v>
      </c>
    </row>
    <row r="303" spans="1:24" x14ac:dyDescent="0.35">
      <c r="A303" s="2">
        <v>12</v>
      </c>
      <c r="B303" s="2">
        <v>75118.769429620705</v>
      </c>
      <c r="C303" s="2">
        <v>3749.204682</v>
      </c>
      <c r="E303" s="2">
        <v>12</v>
      </c>
      <c r="F303" s="2">
        <v>74662.718909344403</v>
      </c>
      <c r="G303" s="2">
        <v>3751.8506739999998</v>
      </c>
      <c r="I303" s="2">
        <v>12</v>
      </c>
      <c r="J303" s="2">
        <v>88107.154750043002</v>
      </c>
      <c r="K303" s="2">
        <v>73.570356000000004</v>
      </c>
      <c r="M303" s="2">
        <v>12</v>
      </c>
      <c r="N303" s="2">
        <v>76587.943489192694</v>
      </c>
      <c r="O303" s="2">
        <v>5385.6821129999998</v>
      </c>
      <c r="Q303" s="2">
        <v>12</v>
      </c>
      <c r="R303" s="2">
        <v>78842.211564055804</v>
      </c>
      <c r="S303" s="2">
        <v>72.152548999999993</v>
      </c>
      <c r="U303" s="2">
        <v>12</v>
      </c>
      <c r="V303" s="2">
        <v>85313.892200040194</v>
      </c>
      <c r="W303" s="2">
        <v>71.838195999999996</v>
      </c>
    </row>
    <row r="304" spans="1:24" x14ac:dyDescent="0.35">
      <c r="A304" s="2">
        <v>13</v>
      </c>
      <c r="B304" s="2">
        <v>75561.362016917104</v>
      </c>
      <c r="C304" s="2">
        <v>3693.9144510000001</v>
      </c>
      <c r="E304" s="2">
        <v>13</v>
      </c>
      <c r="F304" s="2">
        <v>75486.233332959193</v>
      </c>
      <c r="G304" s="2">
        <v>3782.0407909999999</v>
      </c>
      <c r="I304" s="2">
        <v>13</v>
      </c>
      <c r="J304" s="2">
        <v>86459.854734896406</v>
      </c>
      <c r="K304" s="2">
        <v>73.580235999999999</v>
      </c>
      <c r="M304" s="2">
        <v>13</v>
      </c>
      <c r="N304" s="2">
        <v>75394.091518863206</v>
      </c>
      <c r="O304" s="2">
        <v>5375.00209</v>
      </c>
      <c r="Q304" s="2">
        <v>13</v>
      </c>
      <c r="R304" s="2">
        <v>80217.700523459105</v>
      </c>
      <c r="S304" s="2">
        <v>72.069089000000005</v>
      </c>
      <c r="U304" s="2">
        <v>13</v>
      </c>
      <c r="V304" s="2">
        <v>86193.739166255997</v>
      </c>
      <c r="W304" s="2">
        <v>72.656690999999995</v>
      </c>
    </row>
    <row r="305" spans="1:24" x14ac:dyDescent="0.35">
      <c r="A305" s="2">
        <v>14</v>
      </c>
      <c r="B305" s="2">
        <v>74884.809600465305</v>
      </c>
      <c r="C305" s="2">
        <v>3734.1257719999999</v>
      </c>
      <c r="E305" s="2">
        <v>14</v>
      </c>
      <c r="F305" s="2">
        <v>75992.1874698053</v>
      </c>
      <c r="G305" s="2">
        <v>3783.0664980000001</v>
      </c>
      <c r="I305" s="2">
        <v>14</v>
      </c>
      <c r="J305" s="2">
        <v>84902.712941701102</v>
      </c>
      <c r="K305" s="2">
        <v>72.497403000000006</v>
      </c>
      <c r="M305" s="2">
        <v>14</v>
      </c>
      <c r="N305" s="2">
        <v>77367.640574743797</v>
      </c>
      <c r="O305" s="2">
        <v>5346.8491260000001</v>
      </c>
      <c r="Q305" s="2">
        <v>14</v>
      </c>
      <c r="R305" s="2">
        <v>80795.637093714002</v>
      </c>
      <c r="S305" s="2">
        <v>75.013495000000006</v>
      </c>
      <c r="U305" s="2">
        <v>14</v>
      </c>
      <c r="V305" s="2">
        <v>85559.883886911703</v>
      </c>
      <c r="W305" s="2">
        <v>71.007238999999998</v>
      </c>
    </row>
    <row r="306" spans="1:24" x14ac:dyDescent="0.35">
      <c r="A306" s="2">
        <v>15</v>
      </c>
      <c r="B306" s="2">
        <v>75306.6319305324</v>
      </c>
      <c r="C306" s="2">
        <v>3734.961542</v>
      </c>
      <c r="E306" s="2">
        <v>15</v>
      </c>
      <c r="F306" s="2">
        <v>75278.452039954893</v>
      </c>
      <c r="G306" s="2">
        <v>3796.2313859999999</v>
      </c>
      <c r="I306" s="2">
        <v>15</v>
      </c>
      <c r="J306" s="2">
        <v>85914.213868179504</v>
      </c>
      <c r="K306" s="2">
        <v>73.495707999999993</v>
      </c>
      <c r="M306" s="2">
        <v>15</v>
      </c>
      <c r="N306" s="2">
        <v>75394.091518863206</v>
      </c>
      <c r="O306" s="2">
        <v>5337.3933040000002</v>
      </c>
      <c r="Q306" s="2">
        <v>15</v>
      </c>
      <c r="R306" s="2">
        <v>81383.413211643594</v>
      </c>
      <c r="S306" s="2">
        <v>73.012997999999996</v>
      </c>
      <c r="U306" s="2">
        <v>15</v>
      </c>
      <c r="V306" s="2">
        <v>87095.761004629006</v>
      </c>
      <c r="W306" s="2">
        <v>72.362234999999998</v>
      </c>
    </row>
    <row r="307" spans="1:24" x14ac:dyDescent="0.35">
      <c r="A307" s="2">
        <v>16</v>
      </c>
      <c r="B307" s="2">
        <v>74672.523228253194</v>
      </c>
      <c r="C307" s="2">
        <v>3746.0304799999999</v>
      </c>
      <c r="E307" s="2">
        <v>16</v>
      </c>
      <c r="F307" s="2">
        <v>73843.091777676498</v>
      </c>
      <c r="G307" s="2">
        <v>3795.0972270000002</v>
      </c>
      <c r="I307" s="2">
        <v>16</v>
      </c>
      <c r="J307" s="2">
        <v>87656.710130216801</v>
      </c>
      <c r="K307" s="2">
        <v>73.062211000000005</v>
      </c>
      <c r="M307" s="2">
        <v>16</v>
      </c>
      <c r="N307" s="2">
        <v>76373.3878987395</v>
      </c>
      <c r="O307" s="2">
        <v>5382.5622020000001</v>
      </c>
      <c r="Q307" s="2">
        <v>16</v>
      </c>
      <c r="R307" s="2">
        <v>81172.8713476259</v>
      </c>
      <c r="S307" s="2">
        <v>73.188495000000003</v>
      </c>
      <c r="U307" s="2">
        <v>16</v>
      </c>
      <c r="V307" s="2">
        <v>85610.490675750407</v>
      </c>
      <c r="W307" s="2">
        <v>70.510863000000001</v>
      </c>
    </row>
    <row r="308" spans="1:24" x14ac:dyDescent="0.35">
      <c r="A308" s="2">
        <v>17</v>
      </c>
      <c r="B308" s="2">
        <v>73881.676960420999</v>
      </c>
      <c r="C308" s="2">
        <v>3723.158465</v>
      </c>
      <c r="E308" s="2">
        <v>17</v>
      </c>
      <c r="F308" s="2">
        <v>74324.880392618201</v>
      </c>
      <c r="G308" s="2">
        <v>3790.1615900000002</v>
      </c>
      <c r="I308" s="2">
        <v>17</v>
      </c>
      <c r="J308" s="2">
        <v>89842.311321239002</v>
      </c>
      <c r="K308" s="2">
        <v>73.062934999999996</v>
      </c>
      <c r="M308" s="2">
        <v>17</v>
      </c>
      <c r="N308" s="2">
        <v>75394.091518863206</v>
      </c>
      <c r="O308" s="2">
        <v>5328.5037590000002</v>
      </c>
      <c r="Q308" s="2">
        <v>17</v>
      </c>
      <c r="R308" s="2">
        <v>82124.130504525703</v>
      </c>
      <c r="S308" s="2">
        <v>71.585728000000003</v>
      </c>
      <c r="U308" s="2">
        <v>17</v>
      </c>
      <c r="V308" s="2">
        <v>85355.735930423194</v>
      </c>
      <c r="W308" s="2">
        <v>72.196081000000007</v>
      </c>
    </row>
    <row r="309" spans="1:24" x14ac:dyDescent="0.35">
      <c r="A309" s="2">
        <v>18</v>
      </c>
      <c r="B309" s="2">
        <v>74540.751124812305</v>
      </c>
      <c r="C309" s="2">
        <v>3697.9167849999999</v>
      </c>
      <c r="E309" s="2">
        <v>18</v>
      </c>
      <c r="F309" s="2">
        <v>76384.420247658898</v>
      </c>
      <c r="G309" s="2">
        <v>3788.1576930000001</v>
      </c>
      <c r="I309" s="2">
        <v>18</v>
      </c>
      <c r="J309" s="2">
        <v>88248.872035446897</v>
      </c>
      <c r="K309" s="2">
        <v>74.668245999999996</v>
      </c>
      <c r="M309" s="2">
        <v>18</v>
      </c>
      <c r="N309" s="2">
        <v>75659.112331513694</v>
      </c>
      <c r="O309" s="2">
        <v>5376.9940740000002</v>
      </c>
      <c r="Q309" s="2">
        <v>18</v>
      </c>
      <c r="R309" s="2">
        <v>80592.820886253699</v>
      </c>
      <c r="S309" s="2">
        <v>73.493145999999996</v>
      </c>
      <c r="U309" s="2">
        <v>18</v>
      </c>
      <c r="V309" s="2">
        <v>87232.574039515996</v>
      </c>
      <c r="W309" s="2">
        <v>71.334824999999995</v>
      </c>
    </row>
    <row r="310" spans="1:24" x14ac:dyDescent="0.35">
      <c r="A310" s="2">
        <v>19</v>
      </c>
      <c r="B310" s="2">
        <v>74427.665621845401</v>
      </c>
      <c r="C310" s="2">
        <v>3750.6343400000001</v>
      </c>
      <c r="E310" s="2">
        <v>19</v>
      </c>
      <c r="F310" s="2">
        <v>73683.640627632994</v>
      </c>
      <c r="G310" s="2">
        <v>3800.9715390000001</v>
      </c>
      <c r="I310" s="2">
        <v>19</v>
      </c>
      <c r="J310" s="2">
        <v>84404.326508187805</v>
      </c>
      <c r="K310" s="2">
        <v>72.929164999999998</v>
      </c>
      <c r="M310" s="2">
        <v>19</v>
      </c>
      <c r="N310" s="2">
        <v>77390.796332422906</v>
      </c>
      <c r="O310" s="2">
        <v>5347.9212120000002</v>
      </c>
      <c r="Q310" s="2">
        <v>19</v>
      </c>
      <c r="R310" s="2">
        <v>80161.255139953995</v>
      </c>
      <c r="S310" s="2">
        <v>72.881996000000001</v>
      </c>
      <c r="U310" s="2">
        <v>19</v>
      </c>
      <c r="V310" s="2">
        <v>85129.970364936002</v>
      </c>
      <c r="W310" s="2">
        <v>72.367489000000006</v>
      </c>
    </row>
    <row r="311" spans="1:24" x14ac:dyDescent="0.35">
      <c r="A311" s="2">
        <v>20</v>
      </c>
      <c r="B311" s="2">
        <v>74693.399585402003</v>
      </c>
      <c r="C311" s="2">
        <v>3750.600672</v>
      </c>
      <c r="E311" s="2">
        <v>20</v>
      </c>
      <c r="F311" s="2">
        <v>74438.062063763093</v>
      </c>
      <c r="G311" s="2">
        <v>3790.3973099999998</v>
      </c>
      <c r="I311" s="2">
        <v>20</v>
      </c>
      <c r="J311" s="2">
        <v>83737.513103919395</v>
      </c>
      <c r="K311" s="2">
        <v>72.815087000000005</v>
      </c>
      <c r="M311" s="2">
        <v>20</v>
      </c>
      <c r="N311" s="2">
        <v>76632.702599099095</v>
      </c>
      <c r="O311" s="2">
        <v>5336.3209859999997</v>
      </c>
      <c r="Q311" s="2">
        <v>20</v>
      </c>
      <c r="R311" s="2">
        <v>81230.975909254805</v>
      </c>
      <c r="S311" s="2">
        <v>73.475024000000005</v>
      </c>
      <c r="U311" s="2">
        <v>20</v>
      </c>
      <c r="V311" s="2">
        <v>84920.031027815494</v>
      </c>
      <c r="W311" s="2">
        <v>70.943464000000006</v>
      </c>
    </row>
    <row r="312" spans="1:24" x14ac:dyDescent="0.35">
      <c r="A312" s="2" t="s">
        <v>19</v>
      </c>
      <c r="B312" s="3">
        <f>AVERAGE(B292:B311)</f>
        <v>74753.335498288536</v>
      </c>
      <c r="C312" s="3">
        <f>AVERAGE(C292:C311)</f>
        <v>3729.4506787</v>
      </c>
      <c r="F312" s="3">
        <f>AVERAGE(F292:F311)</f>
        <v>74587.645845892621</v>
      </c>
      <c r="G312" s="3">
        <f>AVERAGE(G292:G311)</f>
        <v>3779.5883171500004</v>
      </c>
      <c r="H312" s="3"/>
      <c r="J312" s="3">
        <f>AVERAGE(J292:J311)</f>
        <v>86526.039472464923</v>
      </c>
      <c r="K312" s="3">
        <f>AVERAGE(K292:K311)</f>
        <v>72.980934499999989</v>
      </c>
      <c r="L312" s="3"/>
      <c r="N312" s="3">
        <f>AVERAGE(N292:N311)</f>
        <v>76330.18697901463</v>
      </c>
      <c r="O312" s="3">
        <f>AVERAGE(O292:O311)</f>
        <v>5352.7432396999993</v>
      </c>
      <c r="P312" s="3"/>
      <c r="R312" s="3">
        <f>AVERAGE(R292:R311)</f>
        <v>81021.916294363706</v>
      </c>
      <c r="S312" s="3">
        <f>AVERAGE(S292:S311)</f>
        <v>72.845432550000012</v>
      </c>
      <c r="T312" s="3"/>
      <c r="V312" s="3">
        <f>AVERAGE(V292:V311)</f>
        <v>86651.015971935922</v>
      </c>
      <c r="W312" s="3">
        <f>AVERAGE(W292:W311)</f>
        <v>71.447779999999995</v>
      </c>
      <c r="X312" s="3"/>
    </row>
    <row r="313" spans="1:24" x14ac:dyDescent="0.35">
      <c r="A313" s="2" t="s">
        <v>36</v>
      </c>
      <c r="B313" s="2" cm="1">
        <f t="array" ref="B313">[1]!SignTest(B292:B311,F292:F311,2)</f>
        <v>0.11531829833984381</v>
      </c>
      <c r="C313" s="2" cm="1">
        <f t="array" ref="C313">[1]!SignTest(C292:C311,G292:G311,2)</f>
        <v>1.9073486328125E-6</v>
      </c>
    </row>
    <row r="314" spans="1:24" ht="21" x14ac:dyDescent="0.5">
      <c r="A314" s="10" t="s">
        <v>13</v>
      </c>
      <c r="B314" s="10"/>
      <c r="C314" s="10"/>
      <c r="E314" s="10" t="s">
        <v>13</v>
      </c>
      <c r="F314" s="10"/>
      <c r="G314" s="10"/>
      <c r="H314" s="1"/>
      <c r="I314" s="10" t="s">
        <v>13</v>
      </c>
      <c r="J314" s="10"/>
      <c r="K314" s="10"/>
      <c r="L314" s="1"/>
      <c r="M314" s="10" t="s">
        <v>13</v>
      </c>
      <c r="N314" s="10"/>
      <c r="O314" s="10"/>
      <c r="P314" s="1"/>
      <c r="Q314" s="10" t="s">
        <v>13</v>
      </c>
      <c r="R314" s="10"/>
      <c r="S314" s="10"/>
      <c r="T314" s="1"/>
      <c r="U314" s="10" t="s">
        <v>13</v>
      </c>
      <c r="V314" s="10"/>
      <c r="W314" s="10"/>
      <c r="X314" s="1"/>
    </row>
    <row r="315" spans="1:24" x14ac:dyDescent="0.35">
      <c r="A315" s="2" t="s">
        <v>15</v>
      </c>
      <c r="B315" s="2" t="s">
        <v>16</v>
      </c>
      <c r="C315" s="2" t="s">
        <v>17</v>
      </c>
      <c r="E315" s="2" t="s">
        <v>15</v>
      </c>
      <c r="F315" s="2" t="s">
        <v>16</v>
      </c>
      <c r="G315" s="2" t="s">
        <v>17</v>
      </c>
      <c r="I315" s="2" t="s">
        <v>15</v>
      </c>
      <c r="J315" s="2" t="s">
        <v>16</v>
      </c>
      <c r="K315" s="2" t="s">
        <v>17</v>
      </c>
      <c r="M315" s="2" t="s">
        <v>15</v>
      </c>
      <c r="N315" s="2" t="s">
        <v>16</v>
      </c>
      <c r="O315" s="2" t="s">
        <v>17</v>
      </c>
      <c r="Q315" s="2" t="s">
        <v>15</v>
      </c>
      <c r="R315" s="2" t="s">
        <v>16</v>
      </c>
      <c r="S315" s="2" t="s">
        <v>17</v>
      </c>
      <c r="U315" s="2" t="s">
        <v>15</v>
      </c>
      <c r="V315" s="2" t="s">
        <v>16</v>
      </c>
      <c r="W315" s="2" t="s">
        <v>17</v>
      </c>
    </row>
    <row r="316" spans="1:24" x14ac:dyDescent="0.35">
      <c r="A316" s="2">
        <v>1</v>
      </c>
      <c r="B316" s="2">
        <v>85491.651622872596</v>
      </c>
      <c r="C316" s="2">
        <v>14191.192687999999</v>
      </c>
      <c r="E316" s="2">
        <v>1</v>
      </c>
      <c r="F316" s="2">
        <v>81880.165951642703</v>
      </c>
      <c r="G316" s="2">
        <v>14364.816991</v>
      </c>
      <c r="I316" s="2">
        <v>1</v>
      </c>
      <c r="J316" s="2">
        <v>97415.117078064504</v>
      </c>
      <c r="K316" s="2">
        <v>150.05851999999999</v>
      </c>
      <c r="M316" s="2">
        <v>1</v>
      </c>
      <c r="N316" s="2">
        <v>85176.981716071605</v>
      </c>
      <c r="O316" s="2">
        <v>21666.846732000002</v>
      </c>
      <c r="Q316" s="2">
        <v>1</v>
      </c>
      <c r="R316" s="2">
        <v>89786.081445241201</v>
      </c>
      <c r="S316" s="2">
        <v>153.30826200000001</v>
      </c>
      <c r="U316" s="2">
        <v>1</v>
      </c>
      <c r="V316" s="2">
        <v>99135.772764066598</v>
      </c>
      <c r="W316" s="2">
        <v>152.870497</v>
      </c>
    </row>
    <row r="317" spans="1:24" x14ac:dyDescent="0.35">
      <c r="A317" s="2">
        <v>2</v>
      </c>
      <c r="B317" s="2">
        <v>80658.158245406099</v>
      </c>
      <c r="C317" s="2">
        <v>14068.298411</v>
      </c>
      <c r="E317" s="2">
        <v>2</v>
      </c>
      <c r="F317" s="2">
        <v>81327.1388167728</v>
      </c>
      <c r="G317" s="2">
        <v>14329.577917000001</v>
      </c>
      <c r="I317" s="2">
        <v>2</v>
      </c>
      <c r="J317" s="2">
        <v>93853.040495114299</v>
      </c>
      <c r="K317" s="2">
        <v>154.43594300000001</v>
      </c>
      <c r="M317" s="2">
        <v>2</v>
      </c>
      <c r="N317" s="2">
        <v>84802.031089149503</v>
      </c>
      <c r="O317" s="2">
        <v>21885.915199999999</v>
      </c>
      <c r="Q317" s="2">
        <v>2</v>
      </c>
      <c r="R317" s="2">
        <v>94060.120159254002</v>
      </c>
      <c r="S317" s="2">
        <v>153.706729</v>
      </c>
      <c r="U317" s="2">
        <v>2</v>
      </c>
      <c r="V317" s="2">
        <v>94339.8293993712</v>
      </c>
      <c r="W317" s="2">
        <v>152.25462300000001</v>
      </c>
    </row>
    <row r="318" spans="1:24" x14ac:dyDescent="0.35">
      <c r="A318" s="2">
        <v>3</v>
      </c>
      <c r="B318" s="2">
        <v>85615.465091879407</v>
      </c>
      <c r="C318" s="2">
        <v>14227.597164999999</v>
      </c>
      <c r="E318" s="2">
        <v>3</v>
      </c>
      <c r="F318" s="2">
        <v>81946.691409277701</v>
      </c>
      <c r="G318" s="2">
        <v>14227.989842000001</v>
      </c>
      <c r="I318" s="2">
        <v>3</v>
      </c>
      <c r="J318" s="2">
        <v>96808.570938709905</v>
      </c>
      <c r="K318" s="2">
        <v>150.62116900000001</v>
      </c>
      <c r="M318" s="2">
        <v>3</v>
      </c>
      <c r="N318" s="2">
        <v>85011.527160046593</v>
      </c>
      <c r="O318" s="2">
        <v>21555.831437000001</v>
      </c>
      <c r="Q318" s="2">
        <v>3</v>
      </c>
      <c r="R318" s="2">
        <v>94107.046145082699</v>
      </c>
      <c r="S318" s="2">
        <v>153.37348900000001</v>
      </c>
      <c r="U318" s="2">
        <v>3</v>
      </c>
      <c r="V318" s="2">
        <v>93183.207847012396</v>
      </c>
      <c r="W318" s="2">
        <v>152.41997699999999</v>
      </c>
    </row>
    <row r="319" spans="1:24" x14ac:dyDescent="0.35">
      <c r="A319" s="2">
        <v>4</v>
      </c>
      <c r="B319" s="2">
        <v>81826.099239639007</v>
      </c>
      <c r="C319" s="2">
        <v>14194.267018</v>
      </c>
      <c r="E319" s="2">
        <v>4</v>
      </c>
      <c r="F319" s="2">
        <v>82251.6034008321</v>
      </c>
      <c r="G319" s="2">
        <v>14571.832274</v>
      </c>
      <c r="I319" s="2">
        <v>4</v>
      </c>
      <c r="J319" s="2">
        <v>95447.679244340106</v>
      </c>
      <c r="K319" s="2">
        <v>153.40757099999999</v>
      </c>
      <c r="M319" s="2">
        <v>4</v>
      </c>
      <c r="N319" s="2">
        <v>84874.251260511403</v>
      </c>
      <c r="O319" s="2">
        <v>21795.663661999999</v>
      </c>
      <c r="Q319" s="2">
        <v>4</v>
      </c>
      <c r="R319" s="2">
        <v>91654.622454156706</v>
      </c>
      <c r="S319" s="2">
        <v>153.834979</v>
      </c>
      <c r="U319" s="2">
        <v>4</v>
      </c>
      <c r="V319" s="2">
        <v>100334.306297859</v>
      </c>
      <c r="W319" s="2">
        <v>152.90947</v>
      </c>
    </row>
    <row r="320" spans="1:24" x14ac:dyDescent="0.35">
      <c r="A320" s="2">
        <v>5</v>
      </c>
      <c r="B320" s="2">
        <v>84364.788952498697</v>
      </c>
      <c r="C320" s="2">
        <v>14269.928851999999</v>
      </c>
      <c r="E320" s="2">
        <v>5</v>
      </c>
      <c r="F320" s="2">
        <v>82115.549820421395</v>
      </c>
      <c r="G320" s="2">
        <v>14304.193526999999</v>
      </c>
      <c r="I320" s="2">
        <v>5</v>
      </c>
      <c r="J320" s="2">
        <v>92829.603830437496</v>
      </c>
      <c r="K320" s="2">
        <v>151.94599099999999</v>
      </c>
      <c r="M320" s="2">
        <v>5</v>
      </c>
      <c r="N320" s="2">
        <v>85933.054829916597</v>
      </c>
      <c r="O320" s="2">
        <v>21513.028859999999</v>
      </c>
      <c r="Q320" s="2">
        <v>5</v>
      </c>
      <c r="R320" s="2">
        <v>92910.244557163503</v>
      </c>
      <c r="S320" s="2">
        <v>152.80407400000001</v>
      </c>
      <c r="U320" s="2">
        <v>5</v>
      </c>
      <c r="V320" s="2">
        <v>97781.366980651102</v>
      </c>
      <c r="W320" s="2">
        <v>153.877432</v>
      </c>
    </row>
    <row r="321" spans="1:24" x14ac:dyDescent="0.35">
      <c r="A321" s="2">
        <v>6</v>
      </c>
      <c r="B321" s="2">
        <v>81205.237406715096</v>
      </c>
      <c r="C321" s="2">
        <v>14115.812341999999</v>
      </c>
      <c r="E321" s="2">
        <v>6</v>
      </c>
      <c r="F321" s="2">
        <v>81228.294236718502</v>
      </c>
      <c r="G321" s="2">
        <v>14217.971806</v>
      </c>
      <c r="I321" s="2">
        <v>6</v>
      </c>
      <c r="J321" s="2">
        <v>97150.376175617595</v>
      </c>
      <c r="K321" s="2">
        <v>153.96568300000001</v>
      </c>
      <c r="M321" s="2">
        <v>6</v>
      </c>
      <c r="N321" s="2">
        <v>87577.320396296796</v>
      </c>
      <c r="O321" s="2">
        <v>21749.903612999999</v>
      </c>
      <c r="Q321" s="2">
        <v>6</v>
      </c>
      <c r="R321" s="2">
        <v>94652.717767005306</v>
      </c>
      <c r="S321" s="2">
        <v>155.52849900000001</v>
      </c>
      <c r="U321" s="2">
        <v>6</v>
      </c>
      <c r="V321" s="2">
        <v>102900.427343049</v>
      </c>
      <c r="W321" s="2">
        <v>151.60636</v>
      </c>
    </row>
    <row r="322" spans="1:24" x14ac:dyDescent="0.35">
      <c r="A322" s="2">
        <v>7</v>
      </c>
      <c r="B322" s="2">
        <v>82914.159420307406</v>
      </c>
      <c r="C322" s="2">
        <v>14041.696905999999</v>
      </c>
      <c r="E322" s="2">
        <v>7</v>
      </c>
      <c r="F322" s="2">
        <v>81628.584666204493</v>
      </c>
      <c r="G322" s="2">
        <v>14257.476155</v>
      </c>
      <c r="I322" s="2">
        <v>7</v>
      </c>
      <c r="J322" s="2">
        <v>93299.898329507196</v>
      </c>
      <c r="K322" s="2">
        <v>150.29396199999999</v>
      </c>
      <c r="M322" s="2">
        <v>7</v>
      </c>
      <c r="N322" s="2">
        <v>83620.814441228795</v>
      </c>
      <c r="O322" s="2">
        <v>21740.221248000002</v>
      </c>
      <c r="Q322" s="2">
        <v>7</v>
      </c>
      <c r="R322" s="2">
        <v>94771.138393137197</v>
      </c>
      <c r="S322" s="2">
        <v>153.49097599999999</v>
      </c>
      <c r="U322" s="2">
        <v>7</v>
      </c>
      <c r="V322" s="2">
        <v>98756.702126971199</v>
      </c>
      <c r="W322" s="2">
        <v>153.065808</v>
      </c>
    </row>
    <row r="323" spans="1:24" x14ac:dyDescent="0.35">
      <c r="A323" s="2">
        <v>8</v>
      </c>
      <c r="B323" s="2">
        <v>81017.885532750704</v>
      </c>
      <c r="C323" s="2">
        <v>14108.650088</v>
      </c>
      <c r="E323" s="2">
        <v>8</v>
      </c>
      <c r="F323" s="2">
        <v>83227.681351004503</v>
      </c>
      <c r="G323" s="2">
        <v>14397.125212000001</v>
      </c>
      <c r="I323" s="2">
        <v>8</v>
      </c>
      <c r="J323" s="2">
        <v>94739.912095317501</v>
      </c>
      <c r="K323" s="2">
        <v>151.802899</v>
      </c>
      <c r="M323" s="2">
        <v>8</v>
      </c>
      <c r="N323" s="2">
        <v>85843.507709007201</v>
      </c>
      <c r="O323" s="2">
        <v>21628.580847000001</v>
      </c>
      <c r="Q323" s="2">
        <v>8</v>
      </c>
      <c r="R323" s="2">
        <v>93752.878622948803</v>
      </c>
      <c r="S323" s="2">
        <v>153.173676</v>
      </c>
      <c r="U323" s="2">
        <v>8</v>
      </c>
      <c r="V323" s="2">
        <v>98436.204495505401</v>
      </c>
      <c r="W323" s="2">
        <v>150.34135599999999</v>
      </c>
    </row>
    <row r="324" spans="1:24" x14ac:dyDescent="0.35">
      <c r="A324" s="2">
        <v>9</v>
      </c>
      <c r="B324" s="2">
        <v>82767.897239860002</v>
      </c>
      <c r="C324" s="2">
        <v>14030.403836</v>
      </c>
      <c r="E324" s="2">
        <v>9</v>
      </c>
      <c r="F324" s="2">
        <v>82582.730379433502</v>
      </c>
      <c r="G324" s="2">
        <v>14346.360696</v>
      </c>
      <c r="I324" s="2">
        <v>9</v>
      </c>
      <c r="J324" s="2">
        <v>94983.520226968307</v>
      </c>
      <c r="K324" s="2">
        <v>153.19890100000001</v>
      </c>
      <c r="M324" s="2">
        <v>9</v>
      </c>
      <c r="N324" s="2">
        <v>84179.838288551095</v>
      </c>
      <c r="O324" s="2">
        <v>21760.706681</v>
      </c>
      <c r="Q324" s="2">
        <v>9</v>
      </c>
      <c r="R324" s="2">
        <v>92241.948769352093</v>
      </c>
      <c r="S324" s="2">
        <v>152.86606699999999</v>
      </c>
      <c r="U324" s="2">
        <v>9</v>
      </c>
      <c r="V324" s="2">
        <v>97999.588875568195</v>
      </c>
      <c r="W324" s="2">
        <v>151.81181000000001</v>
      </c>
    </row>
    <row r="325" spans="1:24" x14ac:dyDescent="0.35">
      <c r="A325" s="2">
        <v>10</v>
      </c>
      <c r="B325" s="2">
        <v>81552.997950399294</v>
      </c>
      <c r="C325" s="2">
        <v>14181.135509</v>
      </c>
      <c r="E325" s="2">
        <v>10</v>
      </c>
      <c r="F325" s="2">
        <v>81608.756659157705</v>
      </c>
      <c r="G325" s="2">
        <v>14456.889417</v>
      </c>
      <c r="I325" s="2">
        <v>10</v>
      </c>
      <c r="J325" s="2">
        <v>89644.245960006607</v>
      </c>
      <c r="K325" s="2">
        <v>153.12818799999999</v>
      </c>
      <c r="M325" s="2">
        <v>10</v>
      </c>
      <c r="N325" s="2">
        <v>85530.260933698795</v>
      </c>
      <c r="O325" s="2">
        <v>21782.290227000001</v>
      </c>
      <c r="Q325" s="2">
        <v>10</v>
      </c>
      <c r="R325" s="2">
        <v>93947.038363712898</v>
      </c>
      <c r="S325" s="2">
        <v>152.25800799999999</v>
      </c>
      <c r="U325" s="2">
        <v>10</v>
      </c>
      <c r="V325" s="2">
        <v>93924.221018161901</v>
      </c>
      <c r="W325" s="2">
        <v>152.01833300000001</v>
      </c>
    </row>
    <row r="326" spans="1:24" x14ac:dyDescent="0.35">
      <c r="A326" s="2">
        <v>11</v>
      </c>
      <c r="B326" s="2">
        <v>82303.715172193304</v>
      </c>
      <c r="C326" s="2">
        <v>14195.071475999999</v>
      </c>
      <c r="E326" s="2">
        <v>11</v>
      </c>
      <c r="F326" s="2">
        <v>81670.730670430406</v>
      </c>
      <c r="G326" s="2">
        <v>14255.084604</v>
      </c>
      <c r="I326" s="2">
        <v>11</v>
      </c>
      <c r="J326" s="2">
        <v>98633.601194187999</v>
      </c>
      <c r="K326" s="2">
        <v>154.07648</v>
      </c>
      <c r="M326" s="2">
        <v>11</v>
      </c>
      <c r="N326" s="2">
        <v>82619.484786507004</v>
      </c>
      <c r="O326" s="2">
        <v>21766.123864000001</v>
      </c>
      <c r="Q326" s="2">
        <v>11</v>
      </c>
      <c r="R326" s="2">
        <v>91018.102552916404</v>
      </c>
      <c r="S326" s="2">
        <v>152.222478</v>
      </c>
      <c r="U326" s="2">
        <v>11</v>
      </c>
      <c r="V326" s="2">
        <v>104590.78368319799</v>
      </c>
      <c r="W326" s="2">
        <v>152.12373600000001</v>
      </c>
    </row>
    <row r="327" spans="1:24" x14ac:dyDescent="0.35">
      <c r="A327" s="2">
        <v>12</v>
      </c>
      <c r="B327" s="2">
        <v>85933.800823027806</v>
      </c>
      <c r="C327" s="2">
        <v>14109.38257</v>
      </c>
      <c r="E327" s="2">
        <v>12</v>
      </c>
      <c r="F327" s="2">
        <v>83153.364045882001</v>
      </c>
      <c r="G327" s="2">
        <v>14339.498713000001</v>
      </c>
      <c r="I327" s="2">
        <v>12</v>
      </c>
      <c r="J327" s="2">
        <v>93913.509150808095</v>
      </c>
      <c r="K327" s="2">
        <v>153.63775100000001</v>
      </c>
      <c r="M327" s="2">
        <v>12</v>
      </c>
      <c r="N327" s="2">
        <v>86524.772553181407</v>
      </c>
      <c r="O327" s="2">
        <v>21615.195298999999</v>
      </c>
      <c r="Q327" s="2">
        <v>12</v>
      </c>
      <c r="R327" s="2">
        <v>94067.738908482905</v>
      </c>
      <c r="S327" s="2">
        <v>150.48751899999999</v>
      </c>
      <c r="U327" s="2">
        <v>12</v>
      </c>
      <c r="V327" s="2">
        <v>94749.587530158504</v>
      </c>
      <c r="W327" s="2">
        <v>150.71270699999999</v>
      </c>
    </row>
    <row r="328" spans="1:24" x14ac:dyDescent="0.35">
      <c r="A328" s="2">
        <v>13</v>
      </c>
      <c r="B328" s="2">
        <v>83450.015594858298</v>
      </c>
      <c r="C328" s="2">
        <v>13931.127398000001</v>
      </c>
      <c r="E328" s="2">
        <v>13</v>
      </c>
      <c r="F328" s="2">
        <v>81124.383016915701</v>
      </c>
      <c r="G328" s="2">
        <v>14156.500893</v>
      </c>
      <c r="I328" s="2">
        <v>13</v>
      </c>
      <c r="J328" s="2">
        <v>98895.660783254003</v>
      </c>
      <c r="K328" s="2">
        <v>154.078746</v>
      </c>
      <c r="M328" s="2">
        <v>13</v>
      </c>
      <c r="N328" s="2">
        <v>84261.207725453103</v>
      </c>
      <c r="O328" s="2">
        <v>21675.455566000001</v>
      </c>
      <c r="Q328" s="2">
        <v>13</v>
      </c>
      <c r="R328" s="2">
        <v>93362.0548429544</v>
      </c>
      <c r="S328" s="2">
        <v>151.25482299999999</v>
      </c>
      <c r="U328" s="2">
        <v>13</v>
      </c>
      <c r="V328" s="2">
        <v>99014.5627617922</v>
      </c>
      <c r="W328" s="2">
        <v>153.79346100000001</v>
      </c>
    </row>
    <row r="329" spans="1:24" x14ac:dyDescent="0.35">
      <c r="A329" s="2">
        <v>14</v>
      </c>
      <c r="B329" s="2">
        <v>81034.962657640906</v>
      </c>
      <c r="C329" s="2">
        <v>14153.701644999999</v>
      </c>
      <c r="E329" s="2">
        <v>14</v>
      </c>
      <c r="F329" s="2">
        <v>81292.970937653896</v>
      </c>
      <c r="G329" s="2">
        <v>14323.285712999999</v>
      </c>
      <c r="I329" s="2">
        <v>14</v>
      </c>
      <c r="J329" s="2">
        <v>100909.847646172</v>
      </c>
      <c r="K329" s="2">
        <v>154.11129199999999</v>
      </c>
      <c r="M329" s="2">
        <v>14</v>
      </c>
      <c r="N329" s="2">
        <v>82352.120899791596</v>
      </c>
      <c r="O329" s="2">
        <v>21631.954304999999</v>
      </c>
      <c r="Q329" s="2">
        <v>14</v>
      </c>
      <c r="R329" s="2">
        <v>93752.878622948803</v>
      </c>
      <c r="S329" s="2">
        <v>147.41928300000001</v>
      </c>
      <c r="U329" s="2">
        <v>14</v>
      </c>
      <c r="V329" s="2">
        <v>100721.023450273</v>
      </c>
      <c r="W329" s="2">
        <v>150.843639</v>
      </c>
    </row>
    <row r="330" spans="1:24" x14ac:dyDescent="0.35">
      <c r="A330" s="2">
        <v>15</v>
      </c>
      <c r="B330" s="2">
        <v>81226.570912508701</v>
      </c>
      <c r="C330" s="2">
        <v>14284.139380000001</v>
      </c>
      <c r="E330" s="2">
        <v>15</v>
      </c>
      <c r="F330" s="2">
        <v>81145.201292355094</v>
      </c>
      <c r="G330" s="2">
        <v>14265.295553</v>
      </c>
      <c r="I330" s="2">
        <v>15</v>
      </c>
      <c r="J330" s="2">
        <v>101356.084275279</v>
      </c>
      <c r="K330" s="2">
        <v>149.591285</v>
      </c>
      <c r="M330" s="2">
        <v>15</v>
      </c>
      <c r="N330" s="2">
        <v>86585.243715946897</v>
      </c>
      <c r="O330" s="2">
        <v>21588.493708999998</v>
      </c>
      <c r="Q330" s="2">
        <v>15</v>
      </c>
      <c r="R330" s="2">
        <v>93261.532655422096</v>
      </c>
      <c r="S330" s="2">
        <v>154.85816399999999</v>
      </c>
      <c r="U330" s="2">
        <v>15</v>
      </c>
      <c r="V330" s="2">
        <v>98242.549867439899</v>
      </c>
      <c r="W330" s="2">
        <v>152.63773</v>
      </c>
    </row>
    <row r="331" spans="1:24" x14ac:dyDescent="0.35">
      <c r="A331" s="2">
        <v>16</v>
      </c>
      <c r="B331" s="2">
        <v>82306.069710815995</v>
      </c>
      <c r="C331" s="2">
        <v>14146.567869</v>
      </c>
      <c r="E331" s="2">
        <v>16</v>
      </c>
      <c r="F331" s="2">
        <v>84792.011441322393</v>
      </c>
      <c r="G331" s="2">
        <v>14371.895838</v>
      </c>
      <c r="I331" s="2">
        <v>16</v>
      </c>
      <c r="J331" s="2">
        <v>93384.825784528904</v>
      </c>
      <c r="K331" s="2">
        <v>153.62455199999999</v>
      </c>
      <c r="M331" s="2">
        <v>16</v>
      </c>
      <c r="N331" s="2">
        <v>82755.234326907506</v>
      </c>
      <c r="O331" s="2">
        <v>21650.480819</v>
      </c>
      <c r="Q331" s="2">
        <v>16</v>
      </c>
      <c r="R331" s="2">
        <v>94536.120744862594</v>
      </c>
      <c r="S331" s="2">
        <v>153.58741699999999</v>
      </c>
      <c r="U331" s="2">
        <v>16</v>
      </c>
      <c r="V331" s="2">
        <v>97272.653543700901</v>
      </c>
      <c r="W331" s="2">
        <v>151.53714600000001</v>
      </c>
    </row>
    <row r="332" spans="1:24" x14ac:dyDescent="0.35">
      <c r="A332" s="2">
        <v>17</v>
      </c>
      <c r="B332" s="2">
        <v>86090.013459876995</v>
      </c>
      <c r="C332" s="2">
        <v>14152.79457</v>
      </c>
      <c r="E332" s="2">
        <v>17</v>
      </c>
      <c r="F332" s="2">
        <v>84384.408144722402</v>
      </c>
      <c r="G332" s="2">
        <v>14183.221610000001</v>
      </c>
      <c r="I332" s="2">
        <v>17</v>
      </c>
      <c r="J332" s="2">
        <v>96689.898162708196</v>
      </c>
      <c r="K332" s="2">
        <v>152.802189</v>
      </c>
      <c r="M332" s="2">
        <v>17</v>
      </c>
      <c r="N332" s="2">
        <v>85909.826673481293</v>
      </c>
      <c r="O332" s="2">
        <v>21551.998344</v>
      </c>
      <c r="Q332" s="2">
        <v>17</v>
      </c>
      <c r="R332" s="2">
        <v>94256.514002193406</v>
      </c>
      <c r="S332" s="2">
        <v>152.043858</v>
      </c>
      <c r="U332" s="2">
        <v>17</v>
      </c>
      <c r="V332" s="2">
        <v>97960.580121487306</v>
      </c>
      <c r="W332" s="2">
        <v>154.46877900000001</v>
      </c>
    </row>
    <row r="333" spans="1:24" x14ac:dyDescent="0.35">
      <c r="A333" s="2">
        <v>18</v>
      </c>
      <c r="B333" s="2">
        <v>82484.429543770297</v>
      </c>
      <c r="C333" s="2">
        <v>14087.546887</v>
      </c>
      <c r="E333" s="2">
        <v>18</v>
      </c>
      <c r="F333" s="2">
        <v>87433.941958044801</v>
      </c>
      <c r="G333" s="2">
        <v>14399.182537999999</v>
      </c>
      <c r="I333" s="2">
        <v>18</v>
      </c>
      <c r="J333" s="2">
        <v>96399.020089748301</v>
      </c>
      <c r="K333" s="2">
        <v>154.65983</v>
      </c>
      <c r="M333" s="2">
        <v>18</v>
      </c>
      <c r="N333" s="2">
        <v>85527.172168977704</v>
      </c>
      <c r="O333" s="2">
        <v>21635.044161000002</v>
      </c>
      <c r="Q333" s="2">
        <v>18</v>
      </c>
      <c r="R333" s="2">
        <v>94677.676152305998</v>
      </c>
      <c r="S333" s="2">
        <v>153.21075200000001</v>
      </c>
      <c r="U333" s="2">
        <v>18</v>
      </c>
      <c r="V333" s="2">
        <v>93000.902367285395</v>
      </c>
      <c r="W333" s="2">
        <v>149.85523800000001</v>
      </c>
    </row>
    <row r="334" spans="1:24" x14ac:dyDescent="0.35">
      <c r="A334" s="2">
        <v>19</v>
      </c>
      <c r="B334" s="2">
        <v>83976.313537327704</v>
      </c>
      <c r="C334" s="2">
        <v>14402.951967999999</v>
      </c>
      <c r="E334" s="2">
        <v>19</v>
      </c>
      <c r="F334" s="2">
        <v>81307.3836022428</v>
      </c>
      <c r="G334" s="2">
        <v>14358.284261000001</v>
      </c>
      <c r="I334" s="2">
        <v>19</v>
      </c>
      <c r="J334" s="2">
        <v>99817.028168314806</v>
      </c>
      <c r="K334" s="2">
        <v>149.23586800000001</v>
      </c>
      <c r="M334" s="2">
        <v>19</v>
      </c>
      <c r="N334" s="2">
        <v>86146.421832453401</v>
      </c>
      <c r="O334" s="2">
        <v>21516.074229999998</v>
      </c>
      <c r="Q334" s="2">
        <v>19</v>
      </c>
      <c r="R334" s="2">
        <v>90929.023846631506</v>
      </c>
      <c r="S334" s="2">
        <v>153.22545400000001</v>
      </c>
      <c r="U334" s="2">
        <v>19</v>
      </c>
      <c r="V334" s="2">
        <v>99742.751750377996</v>
      </c>
      <c r="W334" s="2">
        <v>154.192487</v>
      </c>
    </row>
    <row r="335" spans="1:24" x14ac:dyDescent="0.35">
      <c r="A335" s="2">
        <v>20</v>
      </c>
      <c r="B335" s="2">
        <v>83915.700176625396</v>
      </c>
      <c r="C335" s="2">
        <v>14108.194635</v>
      </c>
      <c r="E335" s="2">
        <v>20</v>
      </c>
      <c r="F335" s="2">
        <v>81218.986564897903</v>
      </c>
      <c r="G335" s="2">
        <v>14247.949952999999</v>
      </c>
      <c r="I335" s="2">
        <v>20</v>
      </c>
      <c r="J335" s="2">
        <v>96618.984917350695</v>
      </c>
      <c r="K335" s="2">
        <v>151.95503099999999</v>
      </c>
      <c r="M335" s="2">
        <v>20</v>
      </c>
      <c r="N335" s="2">
        <v>82619.949595783706</v>
      </c>
      <c r="O335" s="2">
        <v>21619.597091</v>
      </c>
      <c r="Q335" s="2">
        <v>20</v>
      </c>
      <c r="R335" s="2">
        <v>95040.457582078496</v>
      </c>
      <c r="S335" s="2">
        <v>152.311992</v>
      </c>
      <c r="U335" s="2">
        <v>20</v>
      </c>
      <c r="V335" s="2">
        <v>91338.078988990106</v>
      </c>
      <c r="W335" s="2">
        <v>152.81710200000001</v>
      </c>
    </row>
    <row r="336" spans="1:24" x14ac:dyDescent="0.35">
      <c r="A336" s="2" t="s">
        <v>19</v>
      </c>
      <c r="B336" s="3">
        <f>AVERAGE(B316:B335)</f>
        <v>83006.796614548701</v>
      </c>
      <c r="C336" s="3">
        <f>AVERAGE(C316:C335)</f>
        <v>14150.023060650001</v>
      </c>
      <c r="F336" s="3">
        <f>AVERAGE(F316:F335)</f>
        <v>82366.028918296652</v>
      </c>
      <c r="G336" s="3">
        <f>AVERAGE(G316:G335)</f>
        <v>14318.721675650002</v>
      </c>
      <c r="H336" s="3"/>
      <c r="J336" s="3">
        <f>AVERAGE(J316:J335)</f>
        <v>96139.521227321777</v>
      </c>
      <c r="K336" s="3">
        <f>AVERAGE(K316:K335)</f>
        <v>152.53159254999997</v>
      </c>
      <c r="L336" s="3"/>
      <c r="N336" s="3">
        <f>AVERAGE(N316:N335)</f>
        <v>84892.551105148086</v>
      </c>
      <c r="O336" s="3">
        <f>AVERAGE(O316:O335)</f>
        <v>21666.470294750001</v>
      </c>
      <c r="P336" s="3"/>
      <c r="R336" s="3">
        <f>AVERAGE(R316:R335)</f>
        <v>93339.296829392537</v>
      </c>
      <c r="S336" s="3">
        <f>AVERAGE(S316:S335)</f>
        <v>152.74832495000001</v>
      </c>
      <c r="T336" s="3"/>
      <c r="V336" s="3">
        <f>AVERAGE(V316:V335)</f>
        <v>97671.25506064597</v>
      </c>
      <c r="W336" s="3">
        <f>AVERAGE(W316:W335)</f>
        <v>152.30788454999998</v>
      </c>
      <c r="X336" s="3"/>
    </row>
    <row r="337" spans="1:24" x14ac:dyDescent="0.35">
      <c r="A337" s="2" t="s">
        <v>36</v>
      </c>
      <c r="B337" s="2" cm="1">
        <f t="array" ref="B337">[1]!SignTest(B316:B335,F316:F335,2)</f>
        <v>0.50344467163085949</v>
      </c>
      <c r="C337" s="2" cm="1">
        <f t="array" ref="C337">[1]!SignTest(C316:C335,G316:G335,2)</f>
        <v>4.024505615234375E-4</v>
      </c>
    </row>
    <row r="338" spans="1:24" ht="21" x14ac:dyDescent="0.5">
      <c r="A338" s="10" t="s">
        <v>24</v>
      </c>
      <c r="B338" s="10"/>
      <c r="C338" s="10"/>
      <c r="E338" s="10" t="s">
        <v>24</v>
      </c>
      <c r="F338" s="10"/>
      <c r="G338" s="10"/>
      <c r="H338" s="1"/>
      <c r="I338" s="10" t="s">
        <v>24</v>
      </c>
      <c r="J338" s="10"/>
      <c r="K338" s="10"/>
      <c r="L338" s="1"/>
      <c r="M338" s="10" t="s">
        <v>24</v>
      </c>
      <c r="N338" s="10"/>
      <c r="O338" s="10"/>
      <c r="P338" s="1"/>
      <c r="Q338" s="10" t="s">
        <v>24</v>
      </c>
      <c r="R338" s="10"/>
      <c r="S338" s="10"/>
      <c r="T338" s="1"/>
      <c r="U338" s="10" t="s">
        <v>24</v>
      </c>
      <c r="V338" s="10"/>
      <c r="W338" s="10"/>
      <c r="X338" s="1"/>
    </row>
    <row r="339" spans="1:24" x14ac:dyDescent="0.35">
      <c r="A339" s="2" t="s">
        <v>15</v>
      </c>
      <c r="B339" s="2" t="s">
        <v>16</v>
      </c>
      <c r="C339" s="2" t="s">
        <v>17</v>
      </c>
      <c r="E339" s="2" t="s">
        <v>15</v>
      </c>
      <c r="F339" s="2" t="s">
        <v>16</v>
      </c>
      <c r="G339" s="2" t="s">
        <v>17</v>
      </c>
      <c r="I339" s="2" t="s">
        <v>15</v>
      </c>
      <c r="J339" s="2" t="s">
        <v>16</v>
      </c>
      <c r="K339" s="2" t="s">
        <v>17</v>
      </c>
      <c r="M339" s="2" t="s">
        <v>15</v>
      </c>
      <c r="N339" s="2" t="s">
        <v>16</v>
      </c>
      <c r="O339" s="2" t="s">
        <v>17</v>
      </c>
      <c r="Q339" s="2" t="s">
        <v>15</v>
      </c>
      <c r="R339" s="2" t="s">
        <v>16</v>
      </c>
      <c r="S339" s="2" t="s">
        <v>17</v>
      </c>
      <c r="U339" s="2" t="s">
        <v>15</v>
      </c>
      <c r="V339" s="2" t="s">
        <v>16</v>
      </c>
      <c r="W339" s="2" t="s">
        <v>17</v>
      </c>
    </row>
    <row r="340" spans="1:24" x14ac:dyDescent="0.35">
      <c r="A340" s="2">
        <v>1</v>
      </c>
      <c r="B340" s="2">
        <v>715.57171326588536</v>
      </c>
      <c r="C340" s="2">
        <v>2275.0894450000001</v>
      </c>
      <c r="E340" s="2">
        <v>1</v>
      </c>
      <c r="F340" s="2">
        <v>741.37578001387681</v>
      </c>
      <c r="G340" s="2">
        <v>2178.6910309999998</v>
      </c>
      <c r="I340" s="2">
        <v>1</v>
      </c>
      <c r="J340" s="2">
        <v>819.57945857441462</v>
      </c>
      <c r="K340" s="2">
        <v>68.951476999999997</v>
      </c>
      <c r="M340" s="2">
        <v>1</v>
      </c>
      <c r="N340" s="2">
        <v>768.24124865317299</v>
      </c>
      <c r="O340" s="2">
        <v>3720.8620550000001</v>
      </c>
      <c r="Q340" s="2">
        <v>1</v>
      </c>
      <c r="R340" s="2">
        <v>955.17706100812643</v>
      </c>
      <c r="S340" s="2">
        <v>67.166776999999996</v>
      </c>
      <c r="U340" s="2">
        <v>1</v>
      </c>
      <c r="V340" s="2">
        <v>891.01947529628762</v>
      </c>
      <c r="W340" s="2">
        <v>67.567385000000002</v>
      </c>
    </row>
    <row r="341" spans="1:24" x14ac:dyDescent="0.35">
      <c r="A341" s="2">
        <v>2</v>
      </c>
      <c r="B341" s="2">
        <v>712.26576035436779</v>
      </c>
      <c r="C341" s="2">
        <v>2281.5254789999999</v>
      </c>
      <c r="E341" s="2">
        <v>2</v>
      </c>
      <c r="F341" s="2">
        <v>713.78409786954853</v>
      </c>
      <c r="G341" s="2">
        <v>2180.1127259999998</v>
      </c>
      <c r="I341" s="2">
        <v>2</v>
      </c>
      <c r="J341" s="2">
        <v>887.0967355324525</v>
      </c>
      <c r="K341" s="2">
        <v>68.475981000000004</v>
      </c>
      <c r="M341" s="2">
        <v>2</v>
      </c>
      <c r="N341" s="2">
        <v>736.12623168682319</v>
      </c>
      <c r="O341" s="2">
        <v>3729.6572799999999</v>
      </c>
      <c r="Q341" s="2">
        <v>2</v>
      </c>
      <c r="R341" s="2">
        <v>916.53148230225611</v>
      </c>
      <c r="S341" s="2">
        <v>67.213120000000004</v>
      </c>
      <c r="U341" s="2">
        <v>2</v>
      </c>
      <c r="V341" s="2">
        <v>881.98504719118932</v>
      </c>
      <c r="W341" s="2">
        <v>66.919668999999999</v>
      </c>
    </row>
    <row r="342" spans="1:24" x14ac:dyDescent="0.35">
      <c r="A342" s="2">
        <v>3</v>
      </c>
      <c r="B342" s="2">
        <v>727.05797428531355</v>
      </c>
      <c r="C342" s="2">
        <v>2273.0555989999998</v>
      </c>
      <c r="E342" s="2">
        <v>3</v>
      </c>
      <c r="F342" s="2">
        <v>722.52303052910679</v>
      </c>
      <c r="G342" s="2">
        <v>2186.143783</v>
      </c>
      <c r="I342" s="2">
        <v>3</v>
      </c>
      <c r="J342" s="2">
        <v>796.94372871685869</v>
      </c>
      <c r="K342" s="2">
        <v>67.963640999999996</v>
      </c>
      <c r="M342" s="2">
        <v>3</v>
      </c>
      <c r="N342" s="2">
        <v>796.91818605494575</v>
      </c>
      <c r="O342" s="2">
        <v>3734.7213830000001</v>
      </c>
      <c r="Q342" s="2">
        <v>3</v>
      </c>
      <c r="R342" s="2">
        <v>890.5531849938759</v>
      </c>
      <c r="S342" s="2">
        <v>67.813447999999994</v>
      </c>
      <c r="U342" s="2">
        <v>3</v>
      </c>
      <c r="V342" s="2">
        <v>897.61512397743968</v>
      </c>
      <c r="W342" s="2">
        <v>66.182766000000001</v>
      </c>
    </row>
    <row r="343" spans="1:24" x14ac:dyDescent="0.35">
      <c r="A343" s="2">
        <v>4</v>
      </c>
      <c r="B343" s="2">
        <v>737.69250748178513</v>
      </c>
      <c r="C343" s="2">
        <v>2295.5412879999999</v>
      </c>
      <c r="E343" s="2">
        <v>4</v>
      </c>
      <c r="F343" s="2">
        <v>736.23817773957683</v>
      </c>
      <c r="G343" s="2">
        <v>2175.6499749999998</v>
      </c>
      <c r="I343" s="2">
        <v>4</v>
      </c>
      <c r="J343" s="2">
        <v>874.43785358436548</v>
      </c>
      <c r="K343" s="2">
        <v>65.431741000000002</v>
      </c>
      <c r="M343" s="2">
        <v>4</v>
      </c>
      <c r="N343" s="2">
        <v>729.71710670993525</v>
      </c>
      <c r="O343" s="2">
        <v>3739.2058019999999</v>
      </c>
      <c r="Q343" s="2">
        <v>4</v>
      </c>
      <c r="R343" s="2">
        <v>898.24044603218294</v>
      </c>
      <c r="S343" s="2">
        <v>66.592923999999996</v>
      </c>
      <c r="U343" s="2">
        <v>4</v>
      </c>
      <c r="V343" s="2">
        <v>894.22906764231641</v>
      </c>
      <c r="W343" s="2">
        <v>65.587607000000006</v>
      </c>
    </row>
    <row r="344" spans="1:24" x14ac:dyDescent="0.35">
      <c r="A344" s="2">
        <v>5</v>
      </c>
      <c r="B344" s="2">
        <v>720.8576136496207</v>
      </c>
      <c r="C344" s="2">
        <v>2297.658265</v>
      </c>
      <c r="E344" s="2">
        <v>5</v>
      </c>
      <c r="F344" s="2">
        <v>736.94693950895351</v>
      </c>
      <c r="G344" s="2">
        <v>2204.1023070000001</v>
      </c>
      <c r="I344" s="2">
        <v>5</v>
      </c>
      <c r="J344" s="2">
        <v>851.8526783294875</v>
      </c>
      <c r="K344" s="2">
        <v>68.349042999999995</v>
      </c>
      <c r="M344" s="2">
        <v>5</v>
      </c>
      <c r="N344" s="2">
        <v>807.846758893176</v>
      </c>
      <c r="O344" s="2">
        <v>3726.8906670000001</v>
      </c>
      <c r="Q344" s="2">
        <v>5</v>
      </c>
      <c r="R344" s="2">
        <v>941.29901929890048</v>
      </c>
      <c r="S344" s="2">
        <v>67.471667999999994</v>
      </c>
      <c r="U344" s="2">
        <v>5</v>
      </c>
      <c r="V344" s="2">
        <v>860.54977142104951</v>
      </c>
      <c r="W344" s="2">
        <v>67.263062000000005</v>
      </c>
    </row>
    <row r="345" spans="1:24" x14ac:dyDescent="0.35">
      <c r="A345" s="2">
        <v>6</v>
      </c>
      <c r="B345" s="2">
        <v>720.86995874994739</v>
      </c>
      <c r="C345" s="2">
        <v>2288.056587</v>
      </c>
      <c r="E345" s="2">
        <v>6</v>
      </c>
      <c r="F345" s="2">
        <v>744.96211399893195</v>
      </c>
      <c r="G345" s="2">
        <v>2207.138359</v>
      </c>
      <c r="I345" s="2">
        <v>6</v>
      </c>
      <c r="J345" s="2">
        <v>884.50678315132893</v>
      </c>
      <c r="K345" s="2">
        <v>67.890992999999995</v>
      </c>
      <c r="M345" s="2">
        <v>6</v>
      </c>
      <c r="N345" s="2">
        <v>760.62647458056415</v>
      </c>
      <c r="O345" s="2">
        <v>3678.1608879999999</v>
      </c>
      <c r="Q345" s="2">
        <v>6</v>
      </c>
      <c r="R345" s="2">
        <v>908.42996779597001</v>
      </c>
      <c r="S345" s="2">
        <v>66.397863999999998</v>
      </c>
      <c r="U345" s="2">
        <v>6</v>
      </c>
      <c r="V345" s="2">
        <v>887.27897682194794</v>
      </c>
      <c r="W345" s="2">
        <v>64.876880999999997</v>
      </c>
    </row>
    <row r="346" spans="1:24" x14ac:dyDescent="0.35">
      <c r="A346" s="2">
        <v>7</v>
      </c>
      <c r="B346" s="2">
        <v>711.77562797139115</v>
      </c>
      <c r="C346" s="2">
        <v>2287.6165649999998</v>
      </c>
      <c r="E346" s="2">
        <v>7</v>
      </c>
      <c r="F346" s="2">
        <v>724.25598562902564</v>
      </c>
      <c r="G346" s="2">
        <v>2188.0183750000001</v>
      </c>
      <c r="I346" s="2">
        <v>7</v>
      </c>
      <c r="J346" s="2">
        <v>858.43712566803163</v>
      </c>
      <c r="K346" s="2">
        <v>67.409210999999999</v>
      </c>
      <c r="M346" s="2">
        <v>7</v>
      </c>
      <c r="N346" s="2">
        <v>785.25317026581263</v>
      </c>
      <c r="O346" s="2">
        <v>3718.159764</v>
      </c>
      <c r="Q346" s="2">
        <v>7</v>
      </c>
      <c r="R346" s="2">
        <v>906.78527662173462</v>
      </c>
      <c r="S346" s="2">
        <v>67.771619000000001</v>
      </c>
      <c r="U346" s="2">
        <v>7</v>
      </c>
      <c r="V346" s="2">
        <v>860.74648377140454</v>
      </c>
      <c r="W346" s="2">
        <v>67.333973</v>
      </c>
    </row>
    <row r="347" spans="1:24" x14ac:dyDescent="0.35">
      <c r="A347" s="2">
        <v>8</v>
      </c>
      <c r="B347" s="2">
        <v>738.97662973742013</v>
      </c>
      <c r="C347" s="2">
        <v>2276.0696459999999</v>
      </c>
      <c r="E347" s="2">
        <v>8</v>
      </c>
      <c r="F347" s="2">
        <v>714.79328897419384</v>
      </c>
      <c r="G347" s="2">
        <v>2180.5983580000002</v>
      </c>
      <c r="I347" s="2">
        <v>8</v>
      </c>
      <c r="J347" s="2">
        <v>809.36582755950099</v>
      </c>
      <c r="K347" s="2">
        <v>68.680887999999996</v>
      </c>
      <c r="M347" s="2">
        <v>8</v>
      </c>
      <c r="N347" s="2">
        <v>738.02447353883497</v>
      </c>
      <c r="O347" s="2">
        <v>3736.0131999999999</v>
      </c>
      <c r="Q347" s="2">
        <v>8</v>
      </c>
      <c r="R347" s="2">
        <v>896.98316890639376</v>
      </c>
      <c r="S347" s="2">
        <v>64.788420000000002</v>
      </c>
      <c r="U347" s="2">
        <v>8</v>
      </c>
      <c r="V347" s="2">
        <v>875.1072506257708</v>
      </c>
      <c r="W347" s="2">
        <v>67.265157000000002</v>
      </c>
    </row>
    <row r="348" spans="1:24" x14ac:dyDescent="0.35">
      <c r="A348" s="2">
        <v>9</v>
      </c>
      <c r="B348" s="2">
        <v>750.9808626996612</v>
      </c>
      <c r="C348" s="2">
        <v>2275.4636999999998</v>
      </c>
      <c r="E348" s="2">
        <v>9</v>
      </c>
      <c r="F348" s="2">
        <v>711.94639254541903</v>
      </c>
      <c r="G348" s="2">
        <v>2190.6856429999998</v>
      </c>
      <c r="I348" s="2">
        <v>9</v>
      </c>
      <c r="J348" s="2">
        <v>838.82732952495337</v>
      </c>
      <c r="K348" s="2">
        <v>67.378103999999993</v>
      </c>
      <c r="M348" s="2">
        <v>9</v>
      </c>
      <c r="N348" s="2">
        <v>773.76715791531853</v>
      </c>
      <c r="O348" s="2">
        <v>3710.5451010000002</v>
      </c>
      <c r="Q348" s="2">
        <v>9</v>
      </c>
      <c r="R348" s="2">
        <v>897.06587828308943</v>
      </c>
      <c r="S348" s="2">
        <v>66.311026999999996</v>
      </c>
      <c r="U348" s="2">
        <v>9</v>
      </c>
      <c r="V348" s="2">
        <v>920.53009300435849</v>
      </c>
      <c r="W348" s="2">
        <v>67.016131999999999</v>
      </c>
    </row>
    <row r="349" spans="1:24" x14ac:dyDescent="0.35">
      <c r="A349" s="2">
        <v>10</v>
      </c>
      <c r="B349" s="2">
        <v>740.58896085131539</v>
      </c>
      <c r="C349" s="2">
        <v>2240.6290610000001</v>
      </c>
      <c r="E349" s="2">
        <v>10</v>
      </c>
      <c r="F349" s="2">
        <v>713.78205131803372</v>
      </c>
      <c r="G349" s="2">
        <v>2194.1302099999998</v>
      </c>
      <c r="I349" s="2">
        <v>10</v>
      </c>
      <c r="J349" s="2">
        <v>897.72115119908676</v>
      </c>
      <c r="K349" s="2">
        <v>67.274433999999999</v>
      </c>
      <c r="M349" s="2">
        <v>10</v>
      </c>
      <c r="N349" s="2">
        <v>787.08925938248547</v>
      </c>
      <c r="O349" s="2">
        <v>3670.5611560000002</v>
      </c>
      <c r="Q349" s="2">
        <v>10</v>
      </c>
      <c r="R349" s="2">
        <v>880.89315559841157</v>
      </c>
      <c r="S349" s="2">
        <v>66.661602000000002</v>
      </c>
      <c r="U349" s="2">
        <v>10</v>
      </c>
      <c r="V349" s="2">
        <v>843.28383440685593</v>
      </c>
      <c r="W349" s="2">
        <v>65.893630000000002</v>
      </c>
    </row>
    <row r="350" spans="1:24" x14ac:dyDescent="0.35">
      <c r="A350" s="2">
        <v>11</v>
      </c>
      <c r="B350" s="2">
        <v>720.01145431889927</v>
      </c>
      <c r="C350" s="2">
        <v>2254.004774</v>
      </c>
      <c r="E350" s="2">
        <v>11</v>
      </c>
      <c r="F350" s="2">
        <v>739.07751630098574</v>
      </c>
      <c r="G350" s="2">
        <v>2194.4440979999999</v>
      </c>
      <c r="I350" s="2">
        <v>11</v>
      </c>
      <c r="J350" s="2">
        <v>845.54251044842351</v>
      </c>
      <c r="K350" s="2">
        <v>69.036479</v>
      </c>
      <c r="M350" s="2">
        <v>11</v>
      </c>
      <c r="N350" s="2">
        <v>820.75337072213847</v>
      </c>
      <c r="O350" s="2">
        <v>3685.777705</v>
      </c>
      <c r="Q350" s="2">
        <v>11</v>
      </c>
      <c r="R350" s="2">
        <v>911.75087731852977</v>
      </c>
      <c r="S350" s="2">
        <v>67.527137999999994</v>
      </c>
      <c r="U350" s="2">
        <v>11</v>
      </c>
      <c r="V350" s="2">
        <v>900.257457437634</v>
      </c>
      <c r="W350" s="2">
        <v>67.090427000000005</v>
      </c>
    </row>
    <row r="351" spans="1:24" x14ac:dyDescent="0.35">
      <c r="A351" s="2">
        <v>12</v>
      </c>
      <c r="B351" s="2">
        <v>710.79682268735291</v>
      </c>
      <c r="C351" s="2">
        <v>2279.491008</v>
      </c>
      <c r="E351" s="2">
        <v>12</v>
      </c>
      <c r="F351" s="2">
        <v>748.44146366405278</v>
      </c>
      <c r="G351" s="2">
        <v>2193.829193</v>
      </c>
      <c r="I351" s="2">
        <v>12</v>
      </c>
      <c r="J351" s="2">
        <v>842.13701986345552</v>
      </c>
      <c r="K351" s="2">
        <v>68.468539000000007</v>
      </c>
      <c r="M351" s="2">
        <v>12</v>
      </c>
      <c r="N351" s="2">
        <v>745.11163934019407</v>
      </c>
      <c r="O351" s="2">
        <v>3733.5480080000002</v>
      </c>
      <c r="Q351" s="2">
        <v>12</v>
      </c>
      <c r="R351" s="2">
        <v>869.63860538701044</v>
      </c>
      <c r="S351" s="2">
        <v>67.092804999999998</v>
      </c>
      <c r="U351" s="2">
        <v>12</v>
      </c>
      <c r="V351" s="2">
        <v>878.14224624750227</v>
      </c>
      <c r="W351" s="2">
        <v>65.939802</v>
      </c>
    </row>
    <row r="352" spans="1:24" x14ac:dyDescent="0.35">
      <c r="A352" s="2">
        <v>13</v>
      </c>
      <c r="B352" s="2">
        <v>716.85582699379097</v>
      </c>
      <c r="C352" s="2">
        <v>2289.4082539999999</v>
      </c>
      <c r="E352" s="2">
        <v>13</v>
      </c>
      <c r="F352" s="2">
        <v>715.49149226021439</v>
      </c>
      <c r="G352" s="2">
        <v>2202.9157049999999</v>
      </c>
      <c r="I352" s="2">
        <v>13</v>
      </c>
      <c r="J352" s="2">
        <v>872.94244743176694</v>
      </c>
      <c r="K352" s="2">
        <v>69.107479999999995</v>
      </c>
      <c r="M352" s="2">
        <v>13</v>
      </c>
      <c r="N352" s="2">
        <v>777.07593105248225</v>
      </c>
      <c r="O352" s="2">
        <v>3708.8111629999999</v>
      </c>
      <c r="Q352" s="2">
        <v>13</v>
      </c>
      <c r="R352" s="2">
        <v>900.06852393327028</v>
      </c>
      <c r="S352" s="2">
        <v>67.058351999999999</v>
      </c>
      <c r="U352" s="2">
        <v>13</v>
      </c>
      <c r="V352" s="2">
        <v>846.79301212848907</v>
      </c>
      <c r="W352" s="2">
        <v>65.451462000000006</v>
      </c>
    </row>
    <row r="353" spans="1:24" x14ac:dyDescent="0.35">
      <c r="A353" s="2">
        <v>14</v>
      </c>
      <c r="B353" s="2">
        <v>723.45654232027846</v>
      </c>
      <c r="C353" s="2">
        <v>2293.605767</v>
      </c>
      <c r="E353" s="2">
        <v>14</v>
      </c>
      <c r="F353" s="2">
        <v>719.1841493934071</v>
      </c>
      <c r="G353" s="2">
        <v>2210.8544750000001</v>
      </c>
      <c r="I353" s="2">
        <v>14</v>
      </c>
      <c r="J353" s="2">
        <v>856.6198797228044</v>
      </c>
      <c r="K353" s="2">
        <v>68.873600999999994</v>
      </c>
      <c r="M353" s="2">
        <v>14</v>
      </c>
      <c r="N353" s="2">
        <v>759.05555194573287</v>
      </c>
      <c r="O353" s="2">
        <v>3730.295764</v>
      </c>
      <c r="Q353" s="2">
        <v>14</v>
      </c>
      <c r="R353" s="2">
        <v>903.36061722133172</v>
      </c>
      <c r="S353" s="2">
        <v>67.632807999999997</v>
      </c>
      <c r="U353" s="2">
        <v>14</v>
      </c>
      <c r="V353" s="2">
        <v>875.49112776651441</v>
      </c>
      <c r="W353" s="2">
        <v>67.906858</v>
      </c>
    </row>
    <row r="354" spans="1:24" x14ac:dyDescent="0.35">
      <c r="A354" s="2">
        <v>15</v>
      </c>
      <c r="B354" s="2">
        <v>739.04006985932858</v>
      </c>
      <c r="C354" s="2">
        <v>2294.336933</v>
      </c>
      <c r="E354" s="2">
        <v>15</v>
      </c>
      <c r="F354" s="2">
        <v>717.2249169384628</v>
      </c>
      <c r="G354" s="2">
        <v>2184.1044139999999</v>
      </c>
      <c r="I354" s="2">
        <v>15</v>
      </c>
      <c r="J354" s="2">
        <v>805.22033289833462</v>
      </c>
      <c r="K354" s="2">
        <v>68.686931000000001</v>
      </c>
      <c r="M354" s="2">
        <v>15</v>
      </c>
      <c r="N354" s="2">
        <v>746.93549929991627</v>
      </c>
      <c r="O354" s="2">
        <v>3703.7965330000002</v>
      </c>
      <c r="Q354" s="2">
        <v>15</v>
      </c>
      <c r="R354" s="2">
        <v>925.28682822886276</v>
      </c>
      <c r="S354" s="2">
        <v>67.444751999999994</v>
      </c>
      <c r="U354" s="2">
        <v>15</v>
      </c>
      <c r="V354" s="2">
        <v>886.84806067227044</v>
      </c>
      <c r="W354" s="2">
        <v>66.282179999999997</v>
      </c>
    </row>
    <row r="355" spans="1:24" x14ac:dyDescent="0.35">
      <c r="A355" s="2">
        <v>16</v>
      </c>
      <c r="B355" s="2">
        <v>740.99423421015263</v>
      </c>
      <c r="C355" s="2">
        <v>2259.5435590000002</v>
      </c>
      <c r="E355" s="2">
        <v>16</v>
      </c>
      <c r="F355" s="2">
        <v>709.03100934145607</v>
      </c>
      <c r="G355" s="2">
        <v>2157.1142519999999</v>
      </c>
      <c r="I355" s="2">
        <v>16</v>
      </c>
      <c r="J355" s="2">
        <v>842.28933651716318</v>
      </c>
      <c r="K355" s="2">
        <v>68.534403999999995</v>
      </c>
      <c r="M355" s="2">
        <v>16</v>
      </c>
      <c r="N355" s="2">
        <v>800.49802595283813</v>
      </c>
      <c r="O355" s="2">
        <v>3725.9037010000002</v>
      </c>
      <c r="Q355" s="2">
        <v>16</v>
      </c>
      <c r="R355" s="2">
        <v>892.36523096547944</v>
      </c>
      <c r="S355" s="2">
        <v>67.348005000000001</v>
      </c>
      <c r="U355" s="2">
        <v>16</v>
      </c>
      <c r="V355" s="2">
        <v>883.26620516480523</v>
      </c>
      <c r="W355" s="2">
        <v>67.293600999999995</v>
      </c>
    </row>
    <row r="356" spans="1:24" x14ac:dyDescent="0.35">
      <c r="A356" s="2">
        <v>17</v>
      </c>
      <c r="B356" s="2">
        <v>716.56606225764472</v>
      </c>
      <c r="C356" s="2">
        <v>2275.7000630000002</v>
      </c>
      <c r="E356" s="2">
        <v>17</v>
      </c>
      <c r="F356" s="2">
        <v>738.75479496271669</v>
      </c>
      <c r="G356" s="2">
        <v>2185.6226179999999</v>
      </c>
      <c r="I356" s="2">
        <v>17</v>
      </c>
      <c r="J356" s="2">
        <v>862.40490436405389</v>
      </c>
      <c r="K356" s="2">
        <v>68.632157000000007</v>
      </c>
      <c r="M356" s="2">
        <v>17</v>
      </c>
      <c r="N356" s="2">
        <v>731.20109413208661</v>
      </c>
      <c r="O356" s="2">
        <v>3727.151374</v>
      </c>
      <c r="Q356" s="2">
        <v>17</v>
      </c>
      <c r="R356" s="2">
        <v>922.13700149935016</v>
      </c>
      <c r="S356" s="2">
        <v>67.836361999999994</v>
      </c>
      <c r="U356" s="2">
        <v>17</v>
      </c>
      <c r="V356" s="2">
        <v>859.51482320384071</v>
      </c>
      <c r="W356" s="2">
        <v>67.106560000000002</v>
      </c>
    </row>
    <row r="357" spans="1:24" x14ac:dyDescent="0.35">
      <c r="A357" s="2">
        <v>18</v>
      </c>
      <c r="B357" s="2">
        <v>727.73083848758802</v>
      </c>
      <c r="C357" s="2">
        <v>2286.3438959999999</v>
      </c>
      <c r="E357" s="2">
        <v>18</v>
      </c>
      <c r="F357" s="2">
        <v>716.68280188652466</v>
      </c>
      <c r="G357" s="2">
        <v>2187.8237089999998</v>
      </c>
      <c r="I357" s="2">
        <v>18</v>
      </c>
      <c r="J357" s="2">
        <v>840.87279783378688</v>
      </c>
      <c r="K357" s="2">
        <v>67.996718000000001</v>
      </c>
      <c r="M357" s="2">
        <v>18</v>
      </c>
      <c r="N357" s="2">
        <v>808.63212514544978</v>
      </c>
      <c r="O357" s="2">
        <v>3686.8425480000001</v>
      </c>
      <c r="Q357" s="2">
        <v>18</v>
      </c>
      <c r="R357" s="2">
        <v>931.4542471382224</v>
      </c>
      <c r="S357" s="2">
        <v>66.793948</v>
      </c>
      <c r="U357" s="2">
        <v>18</v>
      </c>
      <c r="V357" s="2">
        <v>853.14395355778333</v>
      </c>
      <c r="W357" s="2">
        <v>67.051822999999999</v>
      </c>
    </row>
    <row r="358" spans="1:24" x14ac:dyDescent="0.35">
      <c r="A358" s="2">
        <v>19</v>
      </c>
      <c r="B358" s="2">
        <v>710.32346061051692</v>
      </c>
      <c r="C358" s="2">
        <v>2206.3796120000002</v>
      </c>
      <c r="E358" s="2">
        <v>19</v>
      </c>
      <c r="F358" s="2">
        <v>734.8844853619953</v>
      </c>
      <c r="G358" s="2">
        <v>2183.8091829999998</v>
      </c>
      <c r="I358" s="2">
        <v>19</v>
      </c>
      <c r="J358" s="2">
        <v>820.2366100360623</v>
      </c>
      <c r="K358" s="2">
        <v>68.706033000000005</v>
      </c>
      <c r="M358" s="2">
        <v>19</v>
      </c>
      <c r="N358" s="2">
        <v>761.64924323058938</v>
      </c>
      <c r="O358" s="2">
        <v>3715.5061820000001</v>
      </c>
      <c r="Q358" s="2">
        <v>19</v>
      </c>
      <c r="R358" s="2">
        <v>885.85915548214302</v>
      </c>
      <c r="S358" s="2">
        <v>64.515912</v>
      </c>
      <c r="U358" s="2">
        <v>19</v>
      </c>
      <c r="V358" s="2">
        <v>858.64667015518683</v>
      </c>
      <c r="W358" s="2">
        <v>66.342659999999995</v>
      </c>
    </row>
    <row r="359" spans="1:24" x14ac:dyDescent="0.35">
      <c r="A359" s="2">
        <v>20</v>
      </c>
      <c r="B359" s="2">
        <v>708.63107226135025</v>
      </c>
      <c r="C359" s="2">
        <v>2250.9915329999999</v>
      </c>
      <c r="E359" s="2">
        <v>20</v>
      </c>
      <c r="F359" s="2">
        <v>727.36508598085118</v>
      </c>
      <c r="G359" s="2">
        <v>2174.9975399999998</v>
      </c>
      <c r="I359" s="2">
        <v>20</v>
      </c>
      <c r="J359" s="2">
        <v>813.77019486090353</v>
      </c>
      <c r="K359" s="2">
        <v>69.026235999999997</v>
      </c>
      <c r="M359" s="2">
        <v>20</v>
      </c>
      <c r="N359" s="2">
        <v>753.78077233248825</v>
      </c>
      <c r="O359" s="2">
        <v>3740.6020760000001</v>
      </c>
      <c r="Q359" s="2">
        <v>20</v>
      </c>
      <c r="R359" s="2">
        <v>901.5676786629831</v>
      </c>
      <c r="S359" s="2">
        <v>67.716209000000006</v>
      </c>
      <c r="U359" s="2">
        <v>20</v>
      </c>
      <c r="V359" s="2">
        <v>855.18494920066678</v>
      </c>
      <c r="W359" s="2">
        <v>67.305401000000003</v>
      </c>
    </row>
    <row r="360" spans="1:24" x14ac:dyDescent="0.35">
      <c r="A360" s="2" t="s">
        <v>19</v>
      </c>
      <c r="B360" s="3">
        <f>AVERAGE(B340:B359)</f>
        <v>724.55219965268066</v>
      </c>
      <c r="C360" s="3">
        <f>AVERAGE(C340:C359)</f>
        <v>2274.0255516999996</v>
      </c>
      <c r="F360" s="3">
        <f>AVERAGE(F340:F359)</f>
        <v>726.33727871086683</v>
      </c>
      <c r="G360" s="3">
        <f>AVERAGE(G340:G359)</f>
        <v>2188.0392976999997</v>
      </c>
      <c r="H360" s="3"/>
      <c r="J360" s="3">
        <f>AVERAGE(J340:J359)</f>
        <v>846.04023529086169</v>
      </c>
      <c r="K360" s="3">
        <f>AVERAGE(K340:K359)</f>
        <v>68.24370454999999</v>
      </c>
      <c r="L360" s="3"/>
      <c r="N360" s="3">
        <f>AVERAGE(N340:N359)</f>
        <v>769.4151660417491</v>
      </c>
      <c r="O360" s="3">
        <f>AVERAGE(O340:O359)</f>
        <v>3716.1506175000004</v>
      </c>
      <c r="P360" s="3"/>
      <c r="R360" s="3">
        <f>AVERAGE(R340:R359)</f>
        <v>906.77237033390611</v>
      </c>
      <c r="S360" s="3">
        <f>AVERAGE(S340:S359)</f>
        <v>66.957737999999992</v>
      </c>
      <c r="T360" s="3"/>
      <c r="V360" s="3">
        <f>AVERAGE(V340:V359)</f>
        <v>875.48168148466561</v>
      </c>
      <c r="W360" s="3">
        <f>AVERAGE(W340:W359)</f>
        <v>66.683851799999999</v>
      </c>
      <c r="X360" s="3"/>
    </row>
    <row r="361" spans="1:24" x14ac:dyDescent="0.35">
      <c r="A361" s="2" t="s">
        <v>36</v>
      </c>
      <c r="B361" s="2" cm="1">
        <f t="array" ref="B361">[1]!SignTest(B340:B359,F340:F359,2)</f>
        <v>0.82380294799804688</v>
      </c>
      <c r="C361" s="2" cm="1">
        <f t="array" ref="C361">[1]!SignTest(C340:C359,G340:G359,2)</f>
        <v>1.9073486328125E-6</v>
      </c>
    </row>
    <row r="362" spans="1:24" ht="21" x14ac:dyDescent="0.5">
      <c r="A362" s="10" t="s">
        <v>25</v>
      </c>
      <c r="B362" s="10"/>
      <c r="C362" s="10"/>
      <c r="E362" s="10" t="s">
        <v>25</v>
      </c>
      <c r="F362" s="10"/>
      <c r="G362" s="10"/>
      <c r="H362" s="1"/>
      <c r="I362" s="10" t="s">
        <v>25</v>
      </c>
      <c r="J362" s="10"/>
      <c r="K362" s="10"/>
      <c r="L362" s="1"/>
      <c r="M362" s="10" t="s">
        <v>25</v>
      </c>
      <c r="N362" s="10"/>
      <c r="O362" s="10"/>
      <c r="P362" s="1"/>
      <c r="Q362" s="10" t="s">
        <v>25</v>
      </c>
      <c r="R362" s="10"/>
      <c r="S362" s="10"/>
      <c r="T362" s="1"/>
      <c r="U362" s="10" t="s">
        <v>25</v>
      </c>
      <c r="V362" s="10"/>
      <c r="W362" s="10"/>
    </row>
    <row r="363" spans="1:24" x14ac:dyDescent="0.35">
      <c r="A363" s="2" t="s">
        <v>15</v>
      </c>
      <c r="B363" s="2" t="s">
        <v>16</v>
      </c>
      <c r="C363" s="2" t="s">
        <v>17</v>
      </c>
      <c r="E363" s="2" t="s">
        <v>15</v>
      </c>
      <c r="F363" s="2" t="s">
        <v>16</v>
      </c>
      <c r="G363" s="2" t="s">
        <v>17</v>
      </c>
      <c r="I363" s="2" t="s">
        <v>15</v>
      </c>
      <c r="J363" s="2" t="s">
        <v>16</v>
      </c>
      <c r="K363" s="2" t="s">
        <v>17</v>
      </c>
      <c r="M363" s="2" t="s">
        <v>15</v>
      </c>
      <c r="N363" s="2" t="s">
        <v>16</v>
      </c>
      <c r="O363" s="2" t="s">
        <v>17</v>
      </c>
      <c r="Q363" s="2" t="s">
        <v>15</v>
      </c>
      <c r="R363" s="2" t="s">
        <v>16</v>
      </c>
      <c r="S363" s="2" t="s">
        <v>17</v>
      </c>
      <c r="U363" s="2" t="s">
        <v>15</v>
      </c>
      <c r="V363" s="2" t="s">
        <v>16</v>
      </c>
      <c r="W363" s="2" t="s">
        <v>17</v>
      </c>
    </row>
    <row r="364" spans="1:24" x14ac:dyDescent="0.35">
      <c r="A364" s="2">
        <v>1</v>
      </c>
      <c r="B364" s="2">
        <v>701.16554491309114</v>
      </c>
      <c r="C364" s="2">
        <v>288.32996400000002</v>
      </c>
      <c r="E364" s="2">
        <v>1</v>
      </c>
      <c r="F364" s="2">
        <v>698.87309706180383</v>
      </c>
      <c r="G364" s="2">
        <v>257.39228900000001</v>
      </c>
      <c r="I364" s="2">
        <v>1</v>
      </c>
      <c r="J364" s="2">
        <v>766.34671041786748</v>
      </c>
      <c r="K364" s="2">
        <v>20.292231999999998</v>
      </c>
      <c r="M364" s="2">
        <v>1</v>
      </c>
      <c r="N364" s="2">
        <v>707.40489643870444</v>
      </c>
      <c r="O364" s="2">
        <v>363.78620000000001</v>
      </c>
      <c r="Q364" s="2">
        <v>1</v>
      </c>
      <c r="R364" s="2">
        <v>782.49190381906465</v>
      </c>
      <c r="S364" s="2">
        <v>19.574994</v>
      </c>
      <c r="U364" s="2">
        <v>1</v>
      </c>
      <c r="V364" s="2">
        <v>813.10744360902402</v>
      </c>
      <c r="W364" s="2">
        <v>19.418019999999999</v>
      </c>
    </row>
    <row r="365" spans="1:24" x14ac:dyDescent="0.35">
      <c r="A365" s="2">
        <v>2</v>
      </c>
      <c r="B365" s="2">
        <v>686.48892265222162</v>
      </c>
      <c r="C365" s="2">
        <v>287.13924700000001</v>
      </c>
      <c r="E365" s="2">
        <v>2</v>
      </c>
      <c r="F365" s="2">
        <v>693.21236527828989</v>
      </c>
      <c r="G365" s="2">
        <v>260.07038399999999</v>
      </c>
      <c r="I365" s="2">
        <v>2</v>
      </c>
      <c r="J365" s="2">
        <v>764.68237800205975</v>
      </c>
      <c r="K365" s="2">
        <v>19.377797000000001</v>
      </c>
      <c r="M365" s="2">
        <v>2</v>
      </c>
      <c r="N365" s="2">
        <v>721.65181264258422</v>
      </c>
      <c r="O365" s="2">
        <v>360.64034199999998</v>
      </c>
      <c r="Q365" s="2">
        <v>2</v>
      </c>
      <c r="R365" s="2">
        <v>818.2805025324418</v>
      </c>
      <c r="S365" s="2">
        <v>19.356656999999998</v>
      </c>
      <c r="U365" s="2">
        <v>2</v>
      </c>
      <c r="V365" s="2">
        <v>763.3017790941542</v>
      </c>
      <c r="W365" s="2">
        <v>19.502168000000001</v>
      </c>
    </row>
    <row r="366" spans="1:24" x14ac:dyDescent="0.35">
      <c r="A366" s="2">
        <v>3</v>
      </c>
      <c r="B366" s="2">
        <v>677.10960927484678</v>
      </c>
      <c r="C366" s="2">
        <v>288.04349100000002</v>
      </c>
      <c r="E366" s="2">
        <v>3</v>
      </c>
      <c r="F366" s="2">
        <v>682.56318502838519</v>
      </c>
      <c r="G366" s="2">
        <v>258.10425800000002</v>
      </c>
      <c r="I366" s="2">
        <v>3</v>
      </c>
      <c r="J366" s="2">
        <v>728.10495489063135</v>
      </c>
      <c r="K366" s="2">
        <v>20.211220999999998</v>
      </c>
      <c r="M366" s="2">
        <v>3</v>
      </c>
      <c r="N366" s="2">
        <v>714.73537698602547</v>
      </c>
      <c r="O366" s="2">
        <v>365.06788299999999</v>
      </c>
      <c r="Q366" s="2">
        <v>3</v>
      </c>
      <c r="R366" s="2">
        <v>788.09221681902795</v>
      </c>
      <c r="S366" s="2">
        <v>18.888394999999999</v>
      </c>
      <c r="U366" s="2">
        <v>3</v>
      </c>
      <c r="V366" s="2">
        <v>790.7523036883573</v>
      </c>
      <c r="W366" s="2">
        <v>20.204107</v>
      </c>
    </row>
    <row r="367" spans="1:24" x14ac:dyDescent="0.35">
      <c r="A367" s="2">
        <v>4</v>
      </c>
      <c r="B367" s="2">
        <v>692.93718714805334</v>
      </c>
      <c r="C367" s="2">
        <v>288.69852700000001</v>
      </c>
      <c r="E367" s="2">
        <v>4</v>
      </c>
      <c r="F367" s="2">
        <v>697.26942404713554</v>
      </c>
      <c r="G367" s="2">
        <v>253.36271300000001</v>
      </c>
      <c r="I367" s="2">
        <v>4</v>
      </c>
      <c r="J367" s="2">
        <v>751.8603927780498</v>
      </c>
      <c r="K367" s="2">
        <v>19.957118000000001</v>
      </c>
      <c r="M367" s="2">
        <v>4</v>
      </c>
      <c r="N367" s="2">
        <v>768.79749910363478</v>
      </c>
      <c r="O367" s="2">
        <v>361.55844999999999</v>
      </c>
      <c r="Q367" s="2">
        <v>4</v>
      </c>
      <c r="R367" s="2">
        <v>790.7983768972598</v>
      </c>
      <c r="S367" s="2">
        <v>20.378211</v>
      </c>
      <c r="U367" s="2">
        <v>4</v>
      </c>
      <c r="V367" s="2">
        <v>802.75600616168015</v>
      </c>
      <c r="W367" s="2">
        <v>19.586912000000002</v>
      </c>
    </row>
    <row r="368" spans="1:24" x14ac:dyDescent="0.35">
      <c r="A368" s="2">
        <v>5</v>
      </c>
      <c r="B368" s="2">
        <v>689.80133771793442</v>
      </c>
      <c r="C368" s="2">
        <v>287.762833</v>
      </c>
      <c r="E368" s="2">
        <v>5</v>
      </c>
      <c r="F368" s="2">
        <v>694.84649336630389</v>
      </c>
      <c r="G368" s="2">
        <v>259.94201199999998</v>
      </c>
      <c r="I368" s="2">
        <v>5</v>
      </c>
      <c r="J368" s="2">
        <v>766.79615893395908</v>
      </c>
      <c r="K368" s="2">
        <v>19.834942999999999</v>
      </c>
      <c r="M368" s="2">
        <v>5</v>
      </c>
      <c r="N368" s="2">
        <v>738.74551003578949</v>
      </c>
      <c r="O368" s="2">
        <v>359.47906799999998</v>
      </c>
      <c r="Q368" s="2">
        <v>5</v>
      </c>
      <c r="R368" s="2">
        <v>821.24427747972527</v>
      </c>
      <c r="S368" s="2">
        <v>19.495847000000001</v>
      </c>
      <c r="U368" s="2">
        <v>5</v>
      </c>
      <c r="V368" s="2">
        <v>831.82226263426958</v>
      </c>
      <c r="W368" s="2">
        <v>18.574998000000001</v>
      </c>
    </row>
    <row r="369" spans="1:23" x14ac:dyDescent="0.35">
      <c r="A369" s="2">
        <v>6</v>
      </c>
      <c r="B369" s="2">
        <v>683.27725751933303</v>
      </c>
      <c r="C369" s="2">
        <v>287.91281700000002</v>
      </c>
      <c r="E369" s="2">
        <v>6</v>
      </c>
      <c r="F369" s="2">
        <v>695.34511723789456</v>
      </c>
      <c r="G369" s="2">
        <v>258.437996</v>
      </c>
      <c r="I369" s="2">
        <v>6</v>
      </c>
      <c r="J369" s="2">
        <v>775.17840125326097</v>
      </c>
      <c r="K369" s="2">
        <v>20.124687000000002</v>
      </c>
      <c r="M369" s="2">
        <v>6</v>
      </c>
      <c r="N369" s="2">
        <v>733.15123739879687</v>
      </c>
      <c r="O369" s="2">
        <v>365.796425</v>
      </c>
      <c r="Q369" s="2">
        <v>6</v>
      </c>
      <c r="R369" s="2">
        <v>774.09682023712378</v>
      </c>
      <c r="S369" s="2">
        <v>19.564505</v>
      </c>
      <c r="U369" s="2">
        <v>6</v>
      </c>
      <c r="V369" s="2">
        <v>804.10462171251311</v>
      </c>
      <c r="W369" s="2">
        <v>19.545991000000001</v>
      </c>
    </row>
    <row r="370" spans="1:23" x14ac:dyDescent="0.35">
      <c r="A370" s="2">
        <v>7</v>
      </c>
      <c r="B370" s="2">
        <v>679.65480016102129</v>
      </c>
      <c r="C370" s="2">
        <v>287.227465</v>
      </c>
      <c r="E370" s="2">
        <v>7</v>
      </c>
      <c r="F370" s="2">
        <v>710.80887753282627</v>
      </c>
      <c r="G370" s="2">
        <v>258.41983399999998</v>
      </c>
      <c r="I370" s="2">
        <v>7</v>
      </c>
      <c r="J370" s="2">
        <v>765.38954438230235</v>
      </c>
      <c r="K370" s="2">
        <v>20.349105999999999</v>
      </c>
      <c r="M370" s="2">
        <v>7</v>
      </c>
      <c r="N370" s="2">
        <v>730.48437853763869</v>
      </c>
      <c r="O370" s="2">
        <v>362.83119299999998</v>
      </c>
      <c r="Q370" s="2">
        <v>7</v>
      </c>
      <c r="R370" s="2">
        <v>787.66660856749672</v>
      </c>
      <c r="S370" s="2">
        <v>19.350484999999999</v>
      </c>
      <c r="U370" s="2">
        <v>7</v>
      </c>
      <c r="V370" s="2">
        <v>800.82741364957769</v>
      </c>
      <c r="W370" s="2">
        <v>19.953600999999999</v>
      </c>
    </row>
    <row r="371" spans="1:23" x14ac:dyDescent="0.35">
      <c r="A371" s="2">
        <v>8</v>
      </c>
      <c r="B371" s="2">
        <v>693.21667236134533</v>
      </c>
      <c r="C371" s="2">
        <v>290.338841</v>
      </c>
      <c r="E371" s="2">
        <v>8</v>
      </c>
      <c r="F371" s="2">
        <v>692.46442404224263</v>
      </c>
      <c r="G371" s="2">
        <v>255.353351</v>
      </c>
      <c r="I371" s="2">
        <v>8</v>
      </c>
      <c r="J371" s="2">
        <v>749.31158107069621</v>
      </c>
      <c r="K371" s="2">
        <v>19.656773000000001</v>
      </c>
      <c r="M371" s="2">
        <v>8</v>
      </c>
      <c r="N371" s="2">
        <v>689.65049064023174</v>
      </c>
      <c r="O371" s="2">
        <v>362.78583400000002</v>
      </c>
      <c r="Q371" s="2">
        <v>8</v>
      </c>
      <c r="R371" s="2">
        <v>759.55457294536302</v>
      </c>
      <c r="S371" s="2">
        <v>19.205497999999999</v>
      </c>
      <c r="U371" s="2">
        <v>8</v>
      </c>
      <c r="V371" s="2">
        <v>797.67256532382373</v>
      </c>
      <c r="W371" s="2">
        <v>18.902312999999999</v>
      </c>
    </row>
    <row r="372" spans="1:23" x14ac:dyDescent="0.35">
      <c r="A372" s="2">
        <v>9</v>
      </c>
      <c r="B372" s="2">
        <v>698.04841465085622</v>
      </c>
      <c r="C372" s="2">
        <v>283.59805399999999</v>
      </c>
      <c r="E372" s="2">
        <v>9</v>
      </c>
      <c r="F372" s="2">
        <v>696.85293796702263</v>
      </c>
      <c r="G372" s="2">
        <v>259.05328600000001</v>
      </c>
      <c r="I372" s="2">
        <v>9</v>
      </c>
      <c r="J372" s="2">
        <v>751.84964578290578</v>
      </c>
      <c r="K372" s="2">
        <v>20.356563000000001</v>
      </c>
      <c r="M372" s="2">
        <v>9</v>
      </c>
      <c r="N372" s="2">
        <v>687.78122153066397</v>
      </c>
      <c r="O372" s="2">
        <v>354.90140000000002</v>
      </c>
      <c r="Q372" s="2">
        <v>9</v>
      </c>
      <c r="R372" s="2">
        <v>763.99002081262199</v>
      </c>
      <c r="S372" s="2">
        <v>19.43749</v>
      </c>
      <c r="U372" s="2">
        <v>9</v>
      </c>
      <c r="V372" s="2">
        <v>741.60938479697086</v>
      </c>
      <c r="W372" s="2">
        <v>19.635379</v>
      </c>
    </row>
    <row r="373" spans="1:23" x14ac:dyDescent="0.35">
      <c r="A373" s="2">
        <v>10</v>
      </c>
      <c r="B373" s="2">
        <v>724.13539564804557</v>
      </c>
      <c r="C373" s="2">
        <v>287.48960299999999</v>
      </c>
      <c r="E373" s="2">
        <v>10</v>
      </c>
      <c r="F373" s="2">
        <v>678.9886291554692</v>
      </c>
      <c r="G373" s="2">
        <v>248.79674499999999</v>
      </c>
      <c r="I373" s="2">
        <v>10</v>
      </c>
      <c r="J373" s="2">
        <v>757.90396675369584</v>
      </c>
      <c r="K373" s="2">
        <v>20.324862</v>
      </c>
      <c r="M373" s="2">
        <v>10</v>
      </c>
      <c r="N373" s="2">
        <v>708.94678906424224</v>
      </c>
      <c r="O373" s="2">
        <v>361.26504799999998</v>
      </c>
      <c r="Q373" s="2">
        <v>10</v>
      </c>
      <c r="R373" s="2">
        <v>778.88495848054822</v>
      </c>
      <c r="S373" s="2">
        <v>20.124690000000001</v>
      </c>
      <c r="U373" s="2">
        <v>10</v>
      </c>
      <c r="V373" s="2">
        <v>761.61471407766805</v>
      </c>
      <c r="W373" s="2">
        <v>19.840454000000001</v>
      </c>
    </row>
    <row r="374" spans="1:23" x14ac:dyDescent="0.35">
      <c r="A374" s="2">
        <v>11</v>
      </c>
      <c r="B374" s="2">
        <v>687.63251764522454</v>
      </c>
      <c r="C374" s="2">
        <v>287.688356</v>
      </c>
      <c r="E374" s="2">
        <v>11</v>
      </c>
      <c r="F374" s="2">
        <v>690.39236137566729</v>
      </c>
      <c r="G374" s="2">
        <v>258.40293400000002</v>
      </c>
      <c r="I374" s="2">
        <v>11</v>
      </c>
      <c r="J374" s="2">
        <v>777.89896837567835</v>
      </c>
      <c r="K374" s="2">
        <v>20.432625000000002</v>
      </c>
      <c r="M374" s="2">
        <v>11</v>
      </c>
      <c r="N374" s="2">
        <v>718.53273258601348</v>
      </c>
      <c r="O374" s="2">
        <v>361.98856999999998</v>
      </c>
      <c r="Q374" s="2">
        <v>11</v>
      </c>
      <c r="R374" s="2">
        <v>783.51339961176495</v>
      </c>
      <c r="S374" s="2">
        <v>19.181486</v>
      </c>
      <c r="U374" s="2">
        <v>11</v>
      </c>
      <c r="V374" s="2">
        <v>802.36894682643049</v>
      </c>
      <c r="W374" s="2">
        <v>18.387119999999999</v>
      </c>
    </row>
    <row r="375" spans="1:23" x14ac:dyDescent="0.35">
      <c r="A375" s="2">
        <v>12</v>
      </c>
      <c r="B375" s="2">
        <v>678.98862915546908</v>
      </c>
      <c r="C375" s="2">
        <v>281.14763199999999</v>
      </c>
      <c r="E375" s="2">
        <v>12</v>
      </c>
      <c r="F375" s="2">
        <v>692.88034008512068</v>
      </c>
      <c r="G375" s="2">
        <v>261.52636000000001</v>
      </c>
      <c r="I375" s="2">
        <v>12</v>
      </c>
      <c r="J375" s="2">
        <v>756.25488635380088</v>
      </c>
      <c r="K375" s="2">
        <v>19.189174999999999</v>
      </c>
      <c r="M375" s="2">
        <v>12</v>
      </c>
      <c r="N375" s="2">
        <v>760.01499958278316</v>
      </c>
      <c r="O375" s="2">
        <v>357.92405400000001</v>
      </c>
      <c r="Q375" s="2">
        <v>12</v>
      </c>
      <c r="R375" s="2">
        <v>844.07106507771778</v>
      </c>
      <c r="S375" s="2">
        <v>19.655038999999999</v>
      </c>
      <c r="U375" s="2">
        <v>12</v>
      </c>
      <c r="V375" s="2">
        <v>791.06731561111008</v>
      </c>
      <c r="W375" s="2">
        <v>17.963833999999999</v>
      </c>
    </row>
    <row r="376" spans="1:23" x14ac:dyDescent="0.35">
      <c r="A376" s="2">
        <v>13</v>
      </c>
      <c r="B376" s="2">
        <v>678.42461888523451</v>
      </c>
      <c r="C376" s="2">
        <v>287.13233000000002</v>
      </c>
      <c r="E376" s="2">
        <v>13</v>
      </c>
      <c r="F376" s="2">
        <v>711.5449855206283</v>
      </c>
      <c r="G376" s="2">
        <v>257.49905799999999</v>
      </c>
      <c r="I376" s="2">
        <v>13</v>
      </c>
      <c r="J376" s="2">
        <v>753.69907692276195</v>
      </c>
      <c r="K376" s="2">
        <v>19.989415999999999</v>
      </c>
      <c r="M376" s="2">
        <v>13</v>
      </c>
      <c r="N376" s="2">
        <v>725.72512749426483</v>
      </c>
      <c r="O376" s="2">
        <v>363.06914399999999</v>
      </c>
      <c r="Q376" s="2">
        <v>13</v>
      </c>
      <c r="R376" s="2">
        <v>821.53492644011931</v>
      </c>
      <c r="S376" s="2">
        <v>19.851088000000001</v>
      </c>
      <c r="U376" s="2">
        <v>13</v>
      </c>
      <c r="V376" s="2">
        <v>773.96509724422799</v>
      </c>
      <c r="W376" s="2">
        <v>17.916492999999999</v>
      </c>
    </row>
    <row r="377" spans="1:23" x14ac:dyDescent="0.35">
      <c r="A377" s="2">
        <v>14</v>
      </c>
      <c r="B377" s="2">
        <v>696.9692027600787</v>
      </c>
      <c r="C377" s="2">
        <v>287.06453299999998</v>
      </c>
      <c r="E377" s="2">
        <v>14</v>
      </c>
      <c r="F377" s="2">
        <v>690.39461128439245</v>
      </c>
      <c r="G377" s="2">
        <v>259.409829</v>
      </c>
      <c r="I377" s="2">
        <v>14</v>
      </c>
      <c r="J377" s="2">
        <v>767.45809947653936</v>
      </c>
      <c r="K377" s="2">
        <v>20.365841</v>
      </c>
      <c r="M377" s="2">
        <v>14</v>
      </c>
      <c r="N377" s="2">
        <v>718.33922110386516</v>
      </c>
      <c r="O377" s="2">
        <v>361.91810900000002</v>
      </c>
      <c r="Q377" s="2">
        <v>14</v>
      </c>
      <c r="R377" s="2">
        <v>781.52959802936675</v>
      </c>
      <c r="S377" s="2">
        <v>19.549423999999998</v>
      </c>
      <c r="U377" s="2">
        <v>14</v>
      </c>
      <c r="V377" s="2">
        <v>762.35496097579983</v>
      </c>
      <c r="W377" s="2">
        <v>19.022976</v>
      </c>
    </row>
    <row r="378" spans="1:23" x14ac:dyDescent="0.35">
      <c r="A378" s="2">
        <v>15</v>
      </c>
      <c r="B378" s="2">
        <v>679.07351552586636</v>
      </c>
      <c r="C378" s="2">
        <v>287.82252799999998</v>
      </c>
      <c r="E378" s="2">
        <v>15</v>
      </c>
      <c r="F378" s="2">
        <v>712.08770676509744</v>
      </c>
      <c r="G378" s="2">
        <v>257.62404299999997</v>
      </c>
      <c r="I378" s="2">
        <v>15</v>
      </c>
      <c r="J378" s="2">
        <v>767.90959502027624</v>
      </c>
      <c r="K378" s="2">
        <v>20.350190000000001</v>
      </c>
      <c r="M378" s="2">
        <v>15</v>
      </c>
      <c r="N378" s="2">
        <v>696.49677702505039</v>
      </c>
      <c r="O378" s="2">
        <v>361.64812999999998</v>
      </c>
      <c r="Q378" s="2">
        <v>15</v>
      </c>
      <c r="R378" s="2">
        <v>810.99306373276386</v>
      </c>
      <c r="S378" s="2">
        <v>18.453847</v>
      </c>
      <c r="U378" s="2">
        <v>15</v>
      </c>
      <c r="V378" s="2">
        <v>778.99347297200495</v>
      </c>
      <c r="W378" s="2">
        <v>19.717811999999999</v>
      </c>
    </row>
    <row r="379" spans="1:23" x14ac:dyDescent="0.35">
      <c r="A379" s="2">
        <v>16</v>
      </c>
      <c r="B379" s="2">
        <v>690.48634055896605</v>
      </c>
      <c r="C379" s="2">
        <v>289.75594999999998</v>
      </c>
      <c r="E379" s="2">
        <v>16</v>
      </c>
      <c r="F379" s="2">
        <v>696.50779883699374</v>
      </c>
      <c r="G379" s="2">
        <v>253.87850599999999</v>
      </c>
      <c r="I379" s="2">
        <v>16</v>
      </c>
      <c r="J379" s="2">
        <v>762.96189157340564</v>
      </c>
      <c r="K379" s="2">
        <v>19.699248000000001</v>
      </c>
      <c r="M379" s="2">
        <v>16</v>
      </c>
      <c r="N379" s="2">
        <v>719.0045016682451</v>
      </c>
      <c r="O379" s="2">
        <v>352.69313099999999</v>
      </c>
      <c r="Q379" s="2">
        <v>16</v>
      </c>
      <c r="R379" s="2">
        <v>777.92198262096917</v>
      </c>
      <c r="S379" s="2">
        <v>20.075254999999999</v>
      </c>
      <c r="U379" s="2">
        <v>16</v>
      </c>
      <c r="V379" s="2">
        <v>802.82068674020741</v>
      </c>
      <c r="W379" s="2">
        <v>19.711895999999999</v>
      </c>
    </row>
    <row r="380" spans="1:23" x14ac:dyDescent="0.35">
      <c r="A380" s="2">
        <v>17</v>
      </c>
      <c r="B380" s="2">
        <v>695.52395951827509</v>
      </c>
      <c r="C380" s="2">
        <v>286.28584599999999</v>
      </c>
      <c r="E380" s="2">
        <v>17</v>
      </c>
      <c r="F380" s="2">
        <v>688.84837772227593</v>
      </c>
      <c r="G380" s="2">
        <v>258.614171</v>
      </c>
      <c r="I380" s="2">
        <v>17</v>
      </c>
      <c r="J380" s="2">
        <v>725.33543735270553</v>
      </c>
      <c r="K380" s="2">
        <v>20.086497999999999</v>
      </c>
      <c r="M380" s="2">
        <v>17</v>
      </c>
      <c r="N380" s="2">
        <v>726.62025480737225</v>
      </c>
      <c r="O380" s="2">
        <v>361.96961499999998</v>
      </c>
      <c r="Q380" s="2">
        <v>17</v>
      </c>
      <c r="R380" s="2">
        <v>786.46128861782051</v>
      </c>
      <c r="S380" s="2">
        <v>19.116752000000002</v>
      </c>
      <c r="U380" s="2">
        <v>17</v>
      </c>
      <c r="V380" s="2">
        <v>775.54675985652932</v>
      </c>
      <c r="W380" s="2">
        <v>19.39329</v>
      </c>
    </row>
    <row r="381" spans="1:23" x14ac:dyDescent="0.35">
      <c r="A381" s="2">
        <v>18</v>
      </c>
      <c r="B381" s="2">
        <v>685.65567722442722</v>
      </c>
      <c r="C381" s="2">
        <v>285.09808700000002</v>
      </c>
      <c r="E381" s="2">
        <v>18</v>
      </c>
      <c r="F381" s="2">
        <v>678.62079647997768</v>
      </c>
      <c r="G381" s="2">
        <v>256.73057799999998</v>
      </c>
      <c r="I381" s="2">
        <v>18</v>
      </c>
      <c r="J381" s="2">
        <v>788.88190621791466</v>
      </c>
      <c r="K381" s="2">
        <v>20.412559000000002</v>
      </c>
      <c r="M381" s="2">
        <v>18</v>
      </c>
      <c r="N381" s="2">
        <v>728.0997452729107</v>
      </c>
      <c r="O381" s="2">
        <v>356.93118299999998</v>
      </c>
      <c r="Q381" s="2">
        <v>18</v>
      </c>
      <c r="R381" s="2">
        <v>797.12111540701346</v>
      </c>
      <c r="S381" s="2">
        <v>19.556529000000001</v>
      </c>
      <c r="U381" s="2">
        <v>18</v>
      </c>
      <c r="V381" s="2">
        <v>812.40801154701626</v>
      </c>
      <c r="W381" s="2">
        <v>19.660959999999999</v>
      </c>
    </row>
    <row r="382" spans="1:23" x14ac:dyDescent="0.35">
      <c r="A382" s="2">
        <v>19</v>
      </c>
      <c r="B382" s="2">
        <v>687.50363488871881</v>
      </c>
      <c r="C382" s="2">
        <v>290.68276100000003</v>
      </c>
      <c r="E382" s="2">
        <v>19</v>
      </c>
      <c r="F382" s="2">
        <v>677.19449564524382</v>
      </c>
      <c r="G382" s="2">
        <v>256.39871199999999</v>
      </c>
      <c r="I382" s="2">
        <v>19</v>
      </c>
      <c r="J382" s="2">
        <v>746.62885144408483</v>
      </c>
      <c r="K382" s="2">
        <v>20.572441999999999</v>
      </c>
      <c r="M382" s="2">
        <v>19</v>
      </c>
      <c r="N382" s="2">
        <v>703.01659308322724</v>
      </c>
      <c r="O382" s="2">
        <v>360.20492999999999</v>
      </c>
      <c r="Q382" s="2">
        <v>19</v>
      </c>
      <c r="R382" s="2">
        <v>756.29342554833795</v>
      </c>
      <c r="S382" s="2">
        <v>19.666409999999999</v>
      </c>
      <c r="U382" s="2">
        <v>19</v>
      </c>
      <c r="V382" s="2">
        <v>771.04179515806936</v>
      </c>
      <c r="W382" s="2">
        <v>19.544635</v>
      </c>
    </row>
    <row r="383" spans="1:23" x14ac:dyDescent="0.35">
      <c r="A383" s="2">
        <v>20</v>
      </c>
      <c r="B383" s="2">
        <v>684.8684779595784</v>
      </c>
      <c r="C383" s="2">
        <v>286.60743300000001</v>
      </c>
      <c r="E383" s="2">
        <v>20</v>
      </c>
      <c r="F383" s="2">
        <v>698.77401123079824</v>
      </c>
      <c r="G383" s="2">
        <v>257.39653600000003</v>
      </c>
      <c r="I383" s="2">
        <v>20</v>
      </c>
      <c r="J383" s="2">
        <v>779.58729069325091</v>
      </c>
      <c r="K383" s="2">
        <v>20.202442999999999</v>
      </c>
      <c r="M383" s="2">
        <v>20</v>
      </c>
      <c r="N383" s="2">
        <v>728.26155772962329</v>
      </c>
      <c r="O383" s="2">
        <v>362.00939899999997</v>
      </c>
      <c r="Q383" s="2">
        <v>20</v>
      </c>
      <c r="R383" s="2">
        <v>765.77276720643897</v>
      </c>
      <c r="S383" s="2">
        <v>19.417521000000001</v>
      </c>
      <c r="U383" s="2">
        <v>20</v>
      </c>
      <c r="V383" s="2">
        <v>802.75336568905254</v>
      </c>
      <c r="W383" s="2">
        <v>19.085076999999998</v>
      </c>
    </row>
    <row r="384" spans="1:23" x14ac:dyDescent="0.35">
      <c r="A384" s="2" t="s">
        <v>19</v>
      </c>
      <c r="B384" s="3">
        <f>AVERAGE(B364:B383)</f>
        <v>689.54808580842939</v>
      </c>
      <c r="C384" s="3">
        <f>AVERAGE(C364:C383)</f>
        <v>287.29131489999997</v>
      </c>
      <c r="F384" s="3">
        <f>AVERAGE(F364:F383)</f>
        <v>693.92350178317861</v>
      </c>
      <c r="G384" s="3">
        <f>AVERAGE(G364:G383)</f>
        <v>257.32067975000001</v>
      </c>
      <c r="H384" s="3"/>
      <c r="J384" s="3">
        <f>AVERAGE(J364:J383)</f>
        <v>760.2019868847924</v>
      </c>
      <c r="K384" s="3">
        <f>AVERAGE(K364:K383)</f>
        <v>20.089286950000002</v>
      </c>
      <c r="L384" s="3"/>
      <c r="N384" s="3">
        <f>AVERAGE(N364:N383)</f>
        <v>721.2730361365833</v>
      </c>
      <c r="O384" s="3">
        <f>AVERAGE(O364:O383)</f>
        <v>360.92340539999992</v>
      </c>
      <c r="P384" s="3"/>
      <c r="R384" s="3">
        <f>AVERAGE(R364:R383)</f>
        <v>789.51564454414927</v>
      </c>
      <c r="S384" s="3">
        <f>AVERAGE(S364:S383)</f>
        <v>19.495006150000002</v>
      </c>
      <c r="T384" s="3"/>
      <c r="V384" s="3">
        <f>AVERAGE(V364:V383)</f>
        <v>789.04444536842425</v>
      </c>
      <c r="W384" s="3">
        <f>AVERAGE(W364:W383)</f>
        <v>19.278401799999997</v>
      </c>
    </row>
    <row r="385" spans="1:23" x14ac:dyDescent="0.35">
      <c r="A385" s="2" t="s">
        <v>36</v>
      </c>
      <c r="B385" s="2" cm="1">
        <f t="array" ref="B385">[1]!SignTest(B364:B383,F364:F383,2)</f>
        <v>0.50344467163085949</v>
      </c>
      <c r="C385" s="2" cm="1">
        <f t="array" ref="C385">[1]!SignTest(C364:C383,G364:G383,2)</f>
        <v>1.9073486328125E-6</v>
      </c>
    </row>
    <row r="386" spans="1:23" ht="21" x14ac:dyDescent="0.5">
      <c r="A386" s="10" t="s">
        <v>26</v>
      </c>
      <c r="B386" s="10"/>
      <c r="C386" s="10"/>
      <c r="E386" s="10" t="s">
        <v>26</v>
      </c>
      <c r="F386" s="10"/>
      <c r="G386" s="10"/>
      <c r="H386" s="1"/>
      <c r="I386" s="10" t="s">
        <v>26</v>
      </c>
      <c r="J386" s="10"/>
      <c r="K386" s="10"/>
      <c r="L386" s="1"/>
      <c r="M386" s="10" t="s">
        <v>26</v>
      </c>
      <c r="N386" s="10"/>
      <c r="O386" s="10"/>
      <c r="P386" s="1"/>
      <c r="Q386" s="10" t="s">
        <v>26</v>
      </c>
      <c r="R386" s="10"/>
      <c r="S386" s="10"/>
      <c r="T386" s="1"/>
      <c r="U386" s="10" t="s">
        <v>26</v>
      </c>
      <c r="V386" s="10"/>
      <c r="W386" s="10"/>
    </row>
    <row r="387" spans="1:23" x14ac:dyDescent="0.35">
      <c r="A387" s="2" t="s">
        <v>15</v>
      </c>
      <c r="B387" s="2" t="s">
        <v>16</v>
      </c>
      <c r="C387" s="2" t="s">
        <v>17</v>
      </c>
      <c r="E387" s="2" t="s">
        <v>15</v>
      </c>
      <c r="F387" s="2" t="s">
        <v>16</v>
      </c>
      <c r="G387" s="2" t="s">
        <v>17</v>
      </c>
      <c r="I387" s="2" t="s">
        <v>15</v>
      </c>
      <c r="J387" s="2" t="s">
        <v>16</v>
      </c>
      <c r="K387" s="2" t="s">
        <v>17</v>
      </c>
      <c r="M387" s="2" t="s">
        <v>15</v>
      </c>
      <c r="N387" s="2" t="s">
        <v>16</v>
      </c>
      <c r="O387" s="2" t="s">
        <v>17</v>
      </c>
      <c r="Q387" s="2" t="s">
        <v>15</v>
      </c>
      <c r="R387" s="2" t="s">
        <v>16</v>
      </c>
      <c r="S387" s="2" t="s">
        <v>17</v>
      </c>
      <c r="U387" s="2" t="s">
        <v>15</v>
      </c>
      <c r="V387" s="2" t="s">
        <v>16</v>
      </c>
      <c r="W387" s="2" t="s">
        <v>17</v>
      </c>
    </row>
    <row r="388" spans="1:23" x14ac:dyDescent="0.35">
      <c r="A388" s="2">
        <v>1</v>
      </c>
      <c r="B388" s="2">
        <v>43245.950692660896</v>
      </c>
      <c r="C388" s="2">
        <v>4551.5677470000001</v>
      </c>
      <c r="E388" s="2">
        <v>1</v>
      </c>
      <c r="F388" s="2">
        <v>43242.606496201879</v>
      </c>
      <c r="G388" s="2">
        <v>4112.7408720000003</v>
      </c>
      <c r="I388" s="2">
        <v>1</v>
      </c>
      <c r="J388" s="2">
        <v>50876.621792178339</v>
      </c>
      <c r="K388" s="2">
        <v>90.840916000000007</v>
      </c>
      <c r="M388" s="2">
        <v>1</v>
      </c>
      <c r="N388" s="2">
        <v>45046.218573023114</v>
      </c>
      <c r="O388" s="2">
        <v>6994.0645880000002</v>
      </c>
      <c r="Q388" s="2">
        <v>1</v>
      </c>
      <c r="R388" s="2">
        <v>53331.992696769783</v>
      </c>
      <c r="S388" s="2">
        <v>88.775167999999994</v>
      </c>
      <c r="U388" s="2">
        <v>1</v>
      </c>
      <c r="V388" s="2">
        <v>46626.773133609604</v>
      </c>
      <c r="W388" s="2">
        <v>90.141009999999994</v>
      </c>
    </row>
    <row r="389" spans="1:23" x14ac:dyDescent="0.35">
      <c r="A389" s="2">
        <v>2</v>
      </c>
      <c r="B389" s="2">
        <v>43406.078939056853</v>
      </c>
      <c r="C389" s="2">
        <v>4496.7448519999998</v>
      </c>
      <c r="E389" s="2">
        <v>2</v>
      </c>
      <c r="F389" s="2">
        <v>45176.353858156021</v>
      </c>
      <c r="G389" s="2">
        <v>4137.3968420000001</v>
      </c>
      <c r="I389" s="2">
        <v>2</v>
      </c>
      <c r="J389" s="2">
        <v>52614.95409037402</v>
      </c>
      <c r="K389" s="2">
        <v>91.134793000000002</v>
      </c>
      <c r="M389" s="2">
        <v>2</v>
      </c>
      <c r="N389" s="2">
        <v>47524.314330549802</v>
      </c>
      <c r="O389" s="2">
        <v>6923.4364219999998</v>
      </c>
      <c r="Q389" s="2">
        <v>2</v>
      </c>
      <c r="R389" s="2">
        <v>50183.487053575023</v>
      </c>
      <c r="S389" s="2">
        <v>89.176366000000002</v>
      </c>
      <c r="U389" s="2">
        <v>2</v>
      </c>
      <c r="V389" s="2">
        <v>47405.220534020853</v>
      </c>
      <c r="W389" s="2">
        <v>89.202161000000004</v>
      </c>
    </row>
    <row r="390" spans="1:23" x14ac:dyDescent="0.35">
      <c r="A390" s="2">
        <v>3</v>
      </c>
      <c r="B390" s="2">
        <v>43067.836583936543</v>
      </c>
      <c r="C390" s="2">
        <v>4560.6030289999999</v>
      </c>
      <c r="E390" s="2">
        <v>3</v>
      </c>
      <c r="F390" s="2">
        <v>43444.569925335934</v>
      </c>
      <c r="G390" s="2">
        <v>4104.4983320000001</v>
      </c>
      <c r="I390" s="2">
        <v>3</v>
      </c>
      <c r="J390" s="2">
        <v>52979.520282097503</v>
      </c>
      <c r="K390" s="2">
        <v>91.495964000000001</v>
      </c>
      <c r="M390" s="2">
        <v>3</v>
      </c>
      <c r="N390" s="2">
        <v>45831.162538255921</v>
      </c>
      <c r="O390" s="2">
        <v>6956.3611030000002</v>
      </c>
      <c r="Q390" s="2">
        <v>3</v>
      </c>
      <c r="R390" s="2">
        <v>53035.129561810529</v>
      </c>
      <c r="S390" s="2">
        <v>89.314051000000006</v>
      </c>
      <c r="U390" s="2">
        <v>3</v>
      </c>
      <c r="V390" s="2">
        <v>53580.751335805347</v>
      </c>
      <c r="W390" s="2">
        <v>89.186026999999996</v>
      </c>
    </row>
    <row r="391" spans="1:23" x14ac:dyDescent="0.35">
      <c r="A391" s="2">
        <v>4</v>
      </c>
      <c r="B391" s="2">
        <v>42911.461925868352</v>
      </c>
      <c r="C391" s="2">
        <v>4558.0203849999998</v>
      </c>
      <c r="E391" s="2">
        <v>4</v>
      </c>
      <c r="F391" s="2">
        <v>43406.078939056853</v>
      </c>
      <c r="G391" s="2">
        <v>4130.0919940000003</v>
      </c>
      <c r="I391" s="2">
        <v>4</v>
      </c>
      <c r="J391" s="2">
        <v>47352.953246168108</v>
      </c>
      <c r="K391" s="2">
        <v>90.572075999999996</v>
      </c>
      <c r="M391" s="2">
        <v>4</v>
      </c>
      <c r="N391" s="2">
        <v>48484.693622663799</v>
      </c>
      <c r="O391" s="2">
        <v>6999.6637149999997</v>
      </c>
      <c r="Q391" s="2">
        <v>4</v>
      </c>
      <c r="R391" s="2">
        <v>54282.244959763906</v>
      </c>
      <c r="S391" s="2">
        <v>89.051242000000002</v>
      </c>
      <c r="U391" s="2">
        <v>4</v>
      </c>
      <c r="V391" s="2">
        <v>49465.89775342292</v>
      </c>
      <c r="W391" s="2">
        <v>89.197776000000005</v>
      </c>
    </row>
    <row r="392" spans="1:23" x14ac:dyDescent="0.35">
      <c r="A392" s="2">
        <v>5</v>
      </c>
      <c r="B392" s="2">
        <v>42631.870345610936</v>
      </c>
      <c r="C392" s="2">
        <v>4549.6515669999999</v>
      </c>
      <c r="E392" s="2">
        <v>5</v>
      </c>
      <c r="F392" s="2">
        <v>42613.671586891338</v>
      </c>
      <c r="G392" s="2">
        <v>4070.2333170000002</v>
      </c>
      <c r="I392" s="2">
        <v>5</v>
      </c>
      <c r="J392" s="2">
        <v>50541.919987187212</v>
      </c>
      <c r="K392" s="2">
        <v>90.859375999999997</v>
      </c>
      <c r="M392" s="2">
        <v>5</v>
      </c>
      <c r="N392" s="2">
        <v>46688.609486867863</v>
      </c>
      <c r="O392" s="2">
        <v>6930.8801450000001</v>
      </c>
      <c r="Q392" s="2">
        <v>5</v>
      </c>
      <c r="R392" s="2">
        <v>52556.42193788349</v>
      </c>
      <c r="S392" s="2">
        <v>89.180037999999996</v>
      </c>
      <c r="U392" s="2">
        <v>5</v>
      </c>
      <c r="V392" s="2">
        <v>48054.545713840169</v>
      </c>
      <c r="W392" s="2">
        <v>87.170557000000002</v>
      </c>
    </row>
    <row r="393" spans="1:23" x14ac:dyDescent="0.35">
      <c r="A393" s="2">
        <v>6</v>
      </c>
      <c r="B393" s="2">
        <v>44400.608053929122</v>
      </c>
      <c r="C393" s="2">
        <v>4577.4510790000004</v>
      </c>
      <c r="E393" s="2">
        <v>6</v>
      </c>
      <c r="F393" s="2">
        <v>42369.263224207869</v>
      </c>
      <c r="G393" s="2">
        <v>4107.2418740000003</v>
      </c>
      <c r="I393" s="2">
        <v>6</v>
      </c>
      <c r="J393" s="2">
        <v>52057.417955009252</v>
      </c>
      <c r="K393" s="2">
        <v>90.292013999999995</v>
      </c>
      <c r="M393" s="2">
        <v>6</v>
      </c>
      <c r="N393" s="2">
        <v>45998.622656114858</v>
      </c>
      <c r="O393" s="2">
        <v>6971.5671400000001</v>
      </c>
      <c r="Q393" s="2">
        <v>6</v>
      </c>
      <c r="R393" s="2">
        <v>52989.297677985654</v>
      </c>
      <c r="S393" s="2">
        <v>88.965045000000003</v>
      </c>
      <c r="U393" s="2">
        <v>6</v>
      </c>
      <c r="V393" s="2">
        <v>50271.524942334596</v>
      </c>
      <c r="W393" s="2">
        <v>85.976371</v>
      </c>
    </row>
    <row r="394" spans="1:23" x14ac:dyDescent="0.35">
      <c r="A394" s="2">
        <v>7</v>
      </c>
      <c r="B394" s="2">
        <v>42809.513665065104</v>
      </c>
      <c r="C394" s="2">
        <v>4529.7031340000003</v>
      </c>
      <c r="E394" s="2">
        <v>7</v>
      </c>
      <c r="F394" s="2">
        <v>43487.799601496998</v>
      </c>
      <c r="G394" s="2">
        <v>4136.9137170000004</v>
      </c>
      <c r="I394" s="2">
        <v>7</v>
      </c>
      <c r="J394" s="2">
        <v>50788.603309926431</v>
      </c>
      <c r="K394" s="2">
        <v>91.145959000000005</v>
      </c>
      <c r="M394" s="2">
        <v>7</v>
      </c>
      <c r="N394" s="2">
        <v>45405.522772890472</v>
      </c>
      <c r="O394" s="2">
        <v>6978.5950849999999</v>
      </c>
      <c r="Q394" s="2">
        <v>7</v>
      </c>
      <c r="R394" s="2">
        <v>52554.399575508207</v>
      </c>
      <c r="S394" s="2">
        <v>87.598955000000004</v>
      </c>
      <c r="U394" s="2">
        <v>7</v>
      </c>
      <c r="V394" s="2">
        <v>52676.086727263602</v>
      </c>
      <c r="W394" s="2">
        <v>88.564268999999996</v>
      </c>
    </row>
    <row r="395" spans="1:23" x14ac:dyDescent="0.35">
      <c r="A395" s="2">
        <v>8</v>
      </c>
      <c r="B395" s="2">
        <v>43377.780338663477</v>
      </c>
      <c r="C395" s="2">
        <v>4545.2497700000004</v>
      </c>
      <c r="E395" s="2">
        <v>8</v>
      </c>
      <c r="F395" s="2">
        <v>43645.487920009436</v>
      </c>
      <c r="G395" s="2">
        <v>4132.1900610000002</v>
      </c>
      <c r="I395" s="2">
        <v>8</v>
      </c>
      <c r="J395" s="2">
        <v>52256.998164477955</v>
      </c>
      <c r="K395" s="2">
        <v>89.828280000000007</v>
      </c>
      <c r="M395" s="2">
        <v>8</v>
      </c>
      <c r="N395" s="2">
        <v>44665.506281940921</v>
      </c>
      <c r="O395" s="2">
        <v>7001.2225689999996</v>
      </c>
      <c r="Q395" s="2">
        <v>8</v>
      </c>
      <c r="R395" s="2">
        <v>53126.614246097175</v>
      </c>
      <c r="S395" s="2">
        <v>90.589271999999994</v>
      </c>
      <c r="U395" s="2">
        <v>8</v>
      </c>
      <c r="V395" s="2">
        <v>53716.750809390527</v>
      </c>
      <c r="W395" s="2">
        <v>89.285770999999997</v>
      </c>
    </row>
    <row r="396" spans="1:23" x14ac:dyDescent="0.35">
      <c r="A396" s="2">
        <v>9</v>
      </c>
      <c r="B396" s="2">
        <v>42624.017550522141</v>
      </c>
      <c r="C396" s="2">
        <v>4553.9326970000002</v>
      </c>
      <c r="E396" s="2">
        <v>9</v>
      </c>
      <c r="F396" s="2">
        <v>43199.294889977355</v>
      </c>
      <c r="G396" s="2">
        <v>4138.3145059999997</v>
      </c>
      <c r="I396" s="2">
        <v>9</v>
      </c>
      <c r="J396" s="2">
        <v>51853.923688194576</v>
      </c>
      <c r="K396" s="2">
        <v>89.504472000000007</v>
      </c>
      <c r="M396" s="2">
        <v>9</v>
      </c>
      <c r="N396" s="2">
        <v>50328.725631015899</v>
      </c>
      <c r="O396" s="2">
        <v>6972.169801</v>
      </c>
      <c r="Q396" s="2">
        <v>9</v>
      </c>
      <c r="R396" s="2">
        <v>52529.3201082581</v>
      </c>
      <c r="S396" s="2">
        <v>88.218123000000006</v>
      </c>
      <c r="U396" s="2">
        <v>9</v>
      </c>
      <c r="V396" s="2">
        <v>53163.98222327909</v>
      </c>
      <c r="W396" s="2">
        <v>89.001037999999994</v>
      </c>
    </row>
    <row r="397" spans="1:23" x14ac:dyDescent="0.35">
      <c r="A397" s="2">
        <v>10</v>
      </c>
      <c r="B397" s="2">
        <v>42831.694358461653</v>
      </c>
      <c r="C397" s="2">
        <v>4562.8380740000002</v>
      </c>
      <c r="E397" s="2">
        <v>10</v>
      </c>
      <c r="F397" s="2">
        <v>43406.078939056846</v>
      </c>
      <c r="G397" s="2">
        <v>4120.11319</v>
      </c>
      <c r="I397" s="2">
        <v>10</v>
      </c>
      <c r="J397" s="2">
        <v>53809.062398281705</v>
      </c>
      <c r="K397" s="2">
        <v>91.337283999999997</v>
      </c>
      <c r="M397" s="2">
        <v>10</v>
      </c>
      <c r="N397" s="2">
        <v>47194.705859756272</v>
      </c>
      <c r="O397" s="2">
        <v>6930.0773939999999</v>
      </c>
      <c r="Q397" s="2">
        <v>10</v>
      </c>
      <c r="R397" s="2">
        <v>51365.324066399073</v>
      </c>
      <c r="S397" s="2">
        <v>87.559935999999993</v>
      </c>
      <c r="U397" s="2">
        <v>10</v>
      </c>
      <c r="V397" s="2">
        <v>53033.616651832155</v>
      </c>
      <c r="W397" s="2">
        <v>89.329910999999996</v>
      </c>
    </row>
    <row r="398" spans="1:23" x14ac:dyDescent="0.35">
      <c r="A398" s="2">
        <v>11</v>
      </c>
      <c r="B398" s="2">
        <v>43750.171704108972</v>
      </c>
      <c r="C398" s="2">
        <v>4501.682221</v>
      </c>
      <c r="E398" s="2">
        <v>11</v>
      </c>
      <c r="F398" s="2">
        <v>43589.706175355124</v>
      </c>
      <c r="G398" s="2">
        <v>4074.038333</v>
      </c>
      <c r="I398" s="2">
        <v>11</v>
      </c>
      <c r="J398" s="2">
        <v>50788.275768254629</v>
      </c>
      <c r="K398" s="2">
        <v>90.829915</v>
      </c>
      <c r="M398" s="2">
        <v>11</v>
      </c>
      <c r="N398" s="2">
        <v>43450.750494489068</v>
      </c>
      <c r="O398" s="2">
        <v>6993.3219570000001</v>
      </c>
      <c r="Q398" s="2">
        <v>11</v>
      </c>
      <c r="R398" s="2">
        <v>50703.199940847859</v>
      </c>
      <c r="S398" s="2">
        <v>89.693627000000006</v>
      </c>
      <c r="U398" s="2">
        <v>11</v>
      </c>
      <c r="V398" s="2">
        <v>50982.717562238526</v>
      </c>
      <c r="W398" s="2">
        <v>86.179016000000004</v>
      </c>
    </row>
    <row r="399" spans="1:23" x14ac:dyDescent="0.35">
      <c r="A399" s="2">
        <v>12</v>
      </c>
      <c r="B399" s="2">
        <v>42715.466592444842</v>
      </c>
      <c r="C399" s="2">
        <v>4604.9084650000004</v>
      </c>
      <c r="E399" s="2">
        <v>12</v>
      </c>
      <c r="F399" s="2">
        <v>42901.494280922008</v>
      </c>
      <c r="G399" s="2">
        <v>4154.223403</v>
      </c>
      <c r="I399" s="2">
        <v>12</v>
      </c>
      <c r="J399" s="2">
        <v>51244.327075080982</v>
      </c>
      <c r="K399" s="2">
        <v>91.886724999999998</v>
      </c>
      <c r="M399" s="2">
        <v>12</v>
      </c>
      <c r="N399" s="2">
        <v>48506.928304917783</v>
      </c>
      <c r="O399" s="2">
        <v>6952.0597909999997</v>
      </c>
      <c r="Q399" s="2">
        <v>12</v>
      </c>
      <c r="R399" s="2">
        <v>51396.849085922164</v>
      </c>
      <c r="S399" s="2">
        <v>86.790998000000002</v>
      </c>
      <c r="U399" s="2">
        <v>12</v>
      </c>
      <c r="V399" s="2">
        <v>48914.019437650706</v>
      </c>
      <c r="W399" s="2">
        <v>88.838037999999997</v>
      </c>
    </row>
    <row r="400" spans="1:23" x14ac:dyDescent="0.35">
      <c r="A400" s="2">
        <v>13</v>
      </c>
      <c r="B400" s="2">
        <v>42568.940847047059</v>
      </c>
      <c r="C400" s="2">
        <v>4518.9176870000001</v>
      </c>
      <c r="E400" s="2">
        <v>13</v>
      </c>
      <c r="F400" s="2">
        <v>42755.132016435979</v>
      </c>
      <c r="G400" s="2">
        <v>4123.4730259999997</v>
      </c>
      <c r="I400" s="2">
        <v>13</v>
      </c>
      <c r="J400" s="2">
        <v>48159.890247471674</v>
      </c>
      <c r="K400" s="2">
        <v>88.906982999999997</v>
      </c>
      <c r="M400" s="2">
        <v>13</v>
      </c>
      <c r="N400" s="2">
        <v>44765.537339542017</v>
      </c>
      <c r="O400" s="2">
        <v>6990.1591689999996</v>
      </c>
      <c r="Q400" s="2">
        <v>13</v>
      </c>
      <c r="R400" s="2">
        <v>53525.649322598649</v>
      </c>
      <c r="S400" s="2">
        <v>88.794337999999996</v>
      </c>
      <c r="U400" s="2">
        <v>13</v>
      </c>
      <c r="V400" s="2">
        <v>50983.212074796575</v>
      </c>
      <c r="W400" s="2">
        <v>87.233915999999994</v>
      </c>
    </row>
    <row r="401" spans="1:23" x14ac:dyDescent="0.35">
      <c r="A401" s="2">
        <v>14</v>
      </c>
      <c r="B401" s="2">
        <v>42992.845359031511</v>
      </c>
      <c r="C401" s="2">
        <v>4555.4179109999995</v>
      </c>
      <c r="E401" s="2">
        <v>14</v>
      </c>
      <c r="F401" s="2">
        <v>43443.539247585097</v>
      </c>
      <c r="G401" s="2">
        <v>4154.543377</v>
      </c>
      <c r="I401" s="2">
        <v>14</v>
      </c>
      <c r="J401" s="2">
        <v>53319.391938425761</v>
      </c>
      <c r="K401" s="2">
        <v>90.142599000000004</v>
      </c>
      <c r="M401" s="2">
        <v>14</v>
      </c>
      <c r="N401" s="2">
        <v>46278.339096443466</v>
      </c>
      <c r="O401" s="2">
        <v>6967.6094389999998</v>
      </c>
      <c r="Q401" s="2">
        <v>14</v>
      </c>
      <c r="R401" s="2">
        <v>51423.449941367217</v>
      </c>
      <c r="S401" s="2">
        <v>87.954735999999997</v>
      </c>
      <c r="U401" s="2">
        <v>14</v>
      </c>
      <c r="V401" s="2">
        <v>48555.296624639515</v>
      </c>
      <c r="W401" s="2">
        <v>89.423379999999995</v>
      </c>
    </row>
    <row r="402" spans="1:23" x14ac:dyDescent="0.35">
      <c r="A402" s="2">
        <v>15</v>
      </c>
      <c r="B402" s="2">
        <v>44043.457032702448</v>
      </c>
      <c r="C402" s="2">
        <v>4521.8259749999997</v>
      </c>
      <c r="E402" s="2">
        <v>15</v>
      </c>
      <c r="F402" s="2">
        <v>42981.236953788612</v>
      </c>
      <c r="G402" s="2">
        <v>4132.6486180000002</v>
      </c>
      <c r="I402" s="2">
        <v>15</v>
      </c>
      <c r="J402" s="2">
        <v>51247.26285190419</v>
      </c>
      <c r="K402" s="2">
        <v>90.605694</v>
      </c>
      <c r="M402" s="2">
        <v>15</v>
      </c>
      <c r="N402" s="2">
        <v>45767.626681363261</v>
      </c>
      <c r="O402" s="2">
        <v>6951.6773919999996</v>
      </c>
      <c r="Q402" s="2">
        <v>15</v>
      </c>
      <c r="R402" s="2">
        <v>52235.443257692998</v>
      </c>
      <c r="S402" s="2">
        <v>86.966505999999995</v>
      </c>
      <c r="U402" s="2">
        <v>15</v>
      </c>
      <c r="V402" s="2">
        <v>50829.322735807575</v>
      </c>
      <c r="W402" s="2">
        <v>89.501137999999997</v>
      </c>
    </row>
    <row r="403" spans="1:23" x14ac:dyDescent="0.35">
      <c r="A403" s="2">
        <v>16</v>
      </c>
      <c r="B403" s="2">
        <v>42477.221578524288</v>
      </c>
      <c r="C403" s="2">
        <v>4559.5519789999998</v>
      </c>
      <c r="E403" s="2">
        <v>16</v>
      </c>
      <c r="F403" s="2">
        <v>42983.518027434475</v>
      </c>
      <c r="G403" s="2">
        <v>4151.4882509999998</v>
      </c>
      <c r="I403" s="2">
        <v>16</v>
      </c>
      <c r="J403" s="2">
        <v>51053.793962208263</v>
      </c>
      <c r="K403" s="2">
        <v>91.591734000000002</v>
      </c>
      <c r="M403" s="2">
        <v>16</v>
      </c>
      <c r="N403" s="2">
        <v>49823.216195090281</v>
      </c>
      <c r="O403" s="2">
        <v>6904.7177680000004</v>
      </c>
      <c r="Q403" s="2">
        <v>16</v>
      </c>
      <c r="R403" s="2">
        <v>53829.718069554816</v>
      </c>
      <c r="S403" s="2">
        <v>90.151711000000006</v>
      </c>
      <c r="U403" s="2">
        <v>16</v>
      </c>
      <c r="V403" s="2">
        <v>49493.78574212981</v>
      </c>
      <c r="W403" s="2">
        <v>89.407859999999999</v>
      </c>
    </row>
    <row r="404" spans="1:23" x14ac:dyDescent="0.35">
      <c r="A404" s="2">
        <v>17</v>
      </c>
      <c r="B404" s="2">
        <v>42976.764028183519</v>
      </c>
      <c r="C404" s="2">
        <v>4550.1403989999999</v>
      </c>
      <c r="E404" s="2">
        <v>17</v>
      </c>
      <c r="F404" s="2">
        <v>42413.198265733714</v>
      </c>
      <c r="G404" s="2">
        <v>4116.2478119999996</v>
      </c>
      <c r="I404" s="2">
        <v>17</v>
      </c>
      <c r="J404" s="2">
        <v>53394.22960605003</v>
      </c>
      <c r="K404" s="2">
        <v>86.863096999999996</v>
      </c>
      <c r="M404" s="2">
        <v>17</v>
      </c>
      <c r="N404" s="2">
        <v>45495.564892982853</v>
      </c>
      <c r="O404" s="2">
        <v>7020.9830959999999</v>
      </c>
      <c r="Q404" s="2">
        <v>17</v>
      </c>
      <c r="R404" s="2">
        <v>53352.008405330671</v>
      </c>
      <c r="S404" s="2">
        <v>89.264786999999998</v>
      </c>
      <c r="U404" s="2">
        <v>17</v>
      </c>
      <c r="V404" s="2">
        <v>50648.987803485274</v>
      </c>
      <c r="W404" s="2">
        <v>88.984346000000002</v>
      </c>
    </row>
    <row r="405" spans="1:23" x14ac:dyDescent="0.35">
      <c r="A405" s="2">
        <v>18</v>
      </c>
      <c r="B405" s="2">
        <v>42624.017550522141</v>
      </c>
      <c r="C405" s="2">
        <v>4483.9513360000001</v>
      </c>
      <c r="E405" s="2">
        <v>18</v>
      </c>
      <c r="F405" s="2">
        <v>43072.518411311044</v>
      </c>
      <c r="G405" s="2">
        <v>4136.1238860000003</v>
      </c>
      <c r="I405" s="2">
        <v>18</v>
      </c>
      <c r="J405" s="2">
        <v>54589.296953288111</v>
      </c>
      <c r="K405" s="2">
        <v>91.123964000000001</v>
      </c>
      <c r="M405" s="2">
        <v>18</v>
      </c>
      <c r="N405" s="2">
        <v>45780.456561681603</v>
      </c>
      <c r="O405" s="2">
        <v>6979.4860280000003</v>
      </c>
      <c r="Q405" s="2">
        <v>18</v>
      </c>
      <c r="R405" s="2">
        <v>51378.6760664709</v>
      </c>
      <c r="S405" s="2">
        <v>89.415058999999999</v>
      </c>
      <c r="U405" s="2">
        <v>18</v>
      </c>
      <c r="V405" s="2">
        <v>51085.867310979651</v>
      </c>
      <c r="W405" s="2">
        <v>88.619569999999996</v>
      </c>
    </row>
    <row r="406" spans="1:23" x14ac:dyDescent="0.35">
      <c r="A406" s="2">
        <v>19</v>
      </c>
      <c r="B406" s="2">
        <v>42995.026129985221</v>
      </c>
      <c r="C406" s="2">
        <v>4562.6040400000002</v>
      </c>
      <c r="E406" s="2">
        <v>19</v>
      </c>
      <c r="F406" s="2">
        <v>43722.818859559637</v>
      </c>
      <c r="G406" s="2">
        <v>4127.2468060000001</v>
      </c>
      <c r="I406" s="2">
        <v>19</v>
      </c>
      <c r="J406" s="2">
        <v>52437.703576942331</v>
      </c>
      <c r="K406" s="2">
        <v>90.628703000000002</v>
      </c>
      <c r="M406" s="2">
        <v>19</v>
      </c>
      <c r="N406" s="2">
        <v>46184.968412265305</v>
      </c>
      <c r="O406" s="2">
        <v>6994.93595</v>
      </c>
      <c r="Q406" s="2">
        <v>19</v>
      </c>
      <c r="R406" s="2">
        <v>52791.009703333235</v>
      </c>
      <c r="S406" s="2">
        <v>87.668385999999998</v>
      </c>
      <c r="U406" s="2">
        <v>19</v>
      </c>
      <c r="V406" s="2">
        <v>53206.731010922042</v>
      </c>
      <c r="W406" s="2">
        <v>89.151644000000005</v>
      </c>
    </row>
    <row r="407" spans="1:23" x14ac:dyDescent="0.35">
      <c r="A407" s="2">
        <v>20</v>
      </c>
      <c r="B407" s="2">
        <v>42254.031164083593</v>
      </c>
      <c r="C407" s="2">
        <v>4556.8291579999996</v>
      </c>
      <c r="E407" s="2">
        <v>20</v>
      </c>
      <c r="F407" s="2">
        <v>42876.709570093422</v>
      </c>
      <c r="G407" s="2">
        <v>4142.9085450000002</v>
      </c>
      <c r="I407" s="2">
        <v>20</v>
      </c>
      <c r="J407" s="2">
        <v>48914.951137335687</v>
      </c>
      <c r="K407" s="2">
        <v>90.200430999999995</v>
      </c>
      <c r="M407" s="2">
        <v>20</v>
      </c>
      <c r="N407" s="2">
        <v>44641.54377947063</v>
      </c>
      <c r="O407" s="2">
        <v>6889.0998650000001</v>
      </c>
      <c r="Q407" s="2">
        <v>20</v>
      </c>
      <c r="R407" s="2">
        <v>49699.647239130434</v>
      </c>
      <c r="S407" s="2">
        <v>87.608439000000004</v>
      </c>
      <c r="U407" s="2">
        <v>20</v>
      </c>
      <c r="V407" s="2">
        <v>51606.331176412226</v>
      </c>
      <c r="W407" s="2">
        <v>89.676392000000007</v>
      </c>
    </row>
    <row r="408" spans="1:23" x14ac:dyDescent="0.35">
      <c r="A408" s="2" t="s">
        <v>19</v>
      </c>
      <c r="B408" s="3">
        <f>AVERAGE(B388:B407)</f>
        <v>43035.237722020436</v>
      </c>
      <c r="C408" s="3">
        <f>AVERAGE(C388:C407)</f>
        <v>4545.0795752499998</v>
      </c>
      <c r="F408" s="3">
        <f>AVERAGE(F388:F407)</f>
        <v>43236.553859430474</v>
      </c>
      <c r="G408" s="3">
        <f>AVERAGE(G388:G407)</f>
        <v>4125.1338380999996</v>
      </c>
      <c r="H408" s="3"/>
      <c r="J408" s="3">
        <f>AVERAGE(J388:J407)</f>
        <v>51514.054901542833</v>
      </c>
      <c r="K408" s="3">
        <f>AVERAGE(K388:K407)</f>
        <v>90.48954895</v>
      </c>
      <c r="L408" s="3"/>
      <c r="N408" s="3">
        <f>AVERAGE(N388:N407)</f>
        <v>46393.150675566256</v>
      </c>
      <c r="O408" s="3">
        <f>AVERAGE(O388:O407)</f>
        <v>6965.1044208500007</v>
      </c>
      <c r="P408" s="3"/>
      <c r="R408" s="3">
        <f>AVERAGE(R388:R407)</f>
        <v>52314.494145814984</v>
      </c>
      <c r="S408" s="3">
        <f>AVERAGE(S388:S407)</f>
        <v>88.63683915</v>
      </c>
      <c r="T408" s="3"/>
      <c r="V408" s="3">
        <f>AVERAGE(V388:V407)</f>
        <v>50715.071065193028</v>
      </c>
      <c r="W408" s="3">
        <f>AVERAGE(W388:W407)</f>
        <v>88.703509550000007</v>
      </c>
    </row>
    <row r="409" spans="1:23" x14ac:dyDescent="0.35">
      <c r="A409" s="2" t="s">
        <v>36</v>
      </c>
      <c r="B409" s="2" cm="1">
        <f t="array" ref="B409">[1]!SignTest(B388:B407,F388:F407,2)</f>
        <v>0.11531829833984381</v>
      </c>
      <c r="C409" s="2" cm="1">
        <f t="array" ref="C409">[1]!SignTest(C388:C407,G388:G407,2)</f>
        <v>1.9073486328125E-6</v>
      </c>
    </row>
    <row r="410" spans="1:23" ht="21" x14ac:dyDescent="0.5">
      <c r="A410" s="10" t="s">
        <v>27</v>
      </c>
      <c r="B410" s="10"/>
      <c r="C410" s="10"/>
      <c r="E410" s="10" t="s">
        <v>27</v>
      </c>
      <c r="F410" s="10"/>
      <c r="G410" s="10"/>
      <c r="H410" s="1"/>
      <c r="I410" s="10" t="s">
        <v>27</v>
      </c>
      <c r="J410" s="10"/>
      <c r="K410" s="10"/>
      <c r="L410" s="1"/>
      <c r="M410" s="10" t="s">
        <v>27</v>
      </c>
      <c r="N410" s="10"/>
      <c r="O410" s="10"/>
      <c r="P410" s="1"/>
      <c r="Q410" s="10" t="s">
        <v>27</v>
      </c>
      <c r="R410" s="10"/>
      <c r="S410" s="10"/>
      <c r="T410" s="1"/>
      <c r="U410" s="10" t="s">
        <v>27</v>
      </c>
      <c r="V410" s="10"/>
      <c r="W410" s="10"/>
    </row>
    <row r="411" spans="1:23" x14ac:dyDescent="0.35">
      <c r="A411" s="2" t="s">
        <v>15</v>
      </c>
      <c r="B411" s="2" t="s">
        <v>16</v>
      </c>
      <c r="C411" s="2" t="s">
        <v>17</v>
      </c>
      <c r="E411" s="2" t="s">
        <v>15</v>
      </c>
      <c r="F411" s="2" t="s">
        <v>16</v>
      </c>
      <c r="G411" s="2" t="s">
        <v>17</v>
      </c>
      <c r="I411" s="2" t="s">
        <v>15</v>
      </c>
      <c r="J411" s="2" t="s">
        <v>16</v>
      </c>
      <c r="K411" s="2" t="s">
        <v>17</v>
      </c>
      <c r="M411" s="2" t="s">
        <v>15</v>
      </c>
      <c r="N411" s="2" t="s">
        <v>16</v>
      </c>
      <c r="O411" s="2" t="s">
        <v>17</v>
      </c>
      <c r="Q411" s="2" t="s">
        <v>15</v>
      </c>
      <c r="R411" s="2" t="s">
        <v>16</v>
      </c>
      <c r="S411" s="2" t="s">
        <v>17</v>
      </c>
      <c r="U411" s="2" t="s">
        <v>15</v>
      </c>
      <c r="V411" s="2" t="s">
        <v>16</v>
      </c>
      <c r="W411" s="2" t="s">
        <v>17</v>
      </c>
    </row>
    <row r="412" spans="1:23" x14ac:dyDescent="0.35">
      <c r="A412" s="2">
        <v>1</v>
      </c>
      <c r="B412" s="2">
        <v>34596.619783009766</v>
      </c>
      <c r="C412" s="2">
        <v>94.459765000000004</v>
      </c>
      <c r="E412" s="2">
        <v>1</v>
      </c>
      <c r="F412" s="2">
        <v>34545.025396651727</v>
      </c>
      <c r="G412" s="2">
        <v>85.829327000000006</v>
      </c>
      <c r="I412" s="2">
        <v>1</v>
      </c>
      <c r="J412" s="2">
        <v>37534.576637328122</v>
      </c>
      <c r="K412" s="2">
        <v>10.479618</v>
      </c>
      <c r="M412" s="2">
        <v>1</v>
      </c>
      <c r="N412" s="2">
        <v>37460.724900233487</v>
      </c>
      <c r="O412" s="2">
        <v>108.33586</v>
      </c>
      <c r="Q412" s="2">
        <v>1</v>
      </c>
      <c r="R412" s="2">
        <v>39236.884898455042</v>
      </c>
      <c r="S412" s="2">
        <v>10.069203</v>
      </c>
      <c r="U412" s="2">
        <v>1</v>
      </c>
      <c r="V412" s="2">
        <v>35765.920651351771</v>
      </c>
      <c r="W412" s="2">
        <v>10.024468000000001</v>
      </c>
    </row>
    <row r="413" spans="1:23" x14ac:dyDescent="0.35">
      <c r="A413" s="2">
        <v>2</v>
      </c>
      <c r="B413" s="2">
        <v>34052.751305222235</v>
      </c>
      <c r="C413" s="2">
        <v>92.999279999999999</v>
      </c>
      <c r="E413" s="2">
        <v>2</v>
      </c>
      <c r="F413" s="2">
        <v>34100.073209165217</v>
      </c>
      <c r="G413" s="2">
        <v>86.537030000000001</v>
      </c>
      <c r="I413" s="2">
        <v>2</v>
      </c>
      <c r="J413" s="2">
        <v>37774.618946039991</v>
      </c>
      <c r="K413" s="2">
        <v>10.163987000000001</v>
      </c>
      <c r="M413" s="2">
        <v>2</v>
      </c>
      <c r="N413" s="2">
        <v>34627.394860905501</v>
      </c>
      <c r="O413" s="2">
        <v>109.309467</v>
      </c>
      <c r="Q413" s="2">
        <v>2</v>
      </c>
      <c r="R413" s="2">
        <v>40171.756987763067</v>
      </c>
      <c r="S413" s="2">
        <v>10.303606</v>
      </c>
      <c r="U413" s="2">
        <v>2</v>
      </c>
      <c r="V413" s="2">
        <v>36529.183342305863</v>
      </c>
      <c r="W413" s="2">
        <v>9.0909259999999996</v>
      </c>
    </row>
    <row r="414" spans="1:23" x14ac:dyDescent="0.35">
      <c r="A414" s="2">
        <v>3</v>
      </c>
      <c r="B414" s="2">
        <v>33659.380722890179</v>
      </c>
      <c r="C414" s="2">
        <v>92.848372999999995</v>
      </c>
      <c r="E414" s="2">
        <v>3</v>
      </c>
      <c r="F414" s="2">
        <v>33772.052908611011</v>
      </c>
      <c r="G414" s="2">
        <v>86.930259000000007</v>
      </c>
      <c r="I414" s="2">
        <v>3</v>
      </c>
      <c r="J414" s="2">
        <v>37284.16211092766</v>
      </c>
      <c r="K414" s="2">
        <v>9.9963739999999994</v>
      </c>
      <c r="M414" s="2">
        <v>3</v>
      </c>
      <c r="N414" s="2">
        <v>37261.734409859935</v>
      </c>
      <c r="O414" s="2">
        <v>108.291917</v>
      </c>
      <c r="Q414" s="2">
        <v>3</v>
      </c>
      <c r="R414" s="2">
        <v>39236.884898455042</v>
      </c>
      <c r="S414" s="2">
        <v>10.136654</v>
      </c>
      <c r="U414" s="2">
        <v>3</v>
      </c>
      <c r="V414" s="2">
        <v>36502.026810925214</v>
      </c>
      <c r="W414" s="2">
        <v>9.955057</v>
      </c>
    </row>
    <row r="415" spans="1:23" x14ac:dyDescent="0.35">
      <c r="A415" s="2">
        <v>4</v>
      </c>
      <c r="B415" s="2">
        <v>34228.639701399676</v>
      </c>
      <c r="C415" s="2">
        <v>94.232309000000001</v>
      </c>
      <c r="E415" s="2">
        <v>4</v>
      </c>
      <c r="F415" s="2">
        <v>33960.149708674457</v>
      </c>
      <c r="G415" s="2">
        <v>87.505706000000004</v>
      </c>
      <c r="I415" s="2">
        <v>4</v>
      </c>
      <c r="J415" s="2">
        <v>36493.607705696159</v>
      </c>
      <c r="K415" s="2">
        <v>10.545975</v>
      </c>
      <c r="M415" s="2">
        <v>4</v>
      </c>
      <c r="N415" s="2">
        <v>35716.39819424411</v>
      </c>
      <c r="O415" s="2">
        <v>110.17968</v>
      </c>
      <c r="Q415" s="2">
        <v>4</v>
      </c>
      <c r="R415" s="2">
        <v>39236.884898455035</v>
      </c>
      <c r="S415" s="2">
        <v>9.9756040000000006</v>
      </c>
      <c r="U415" s="2">
        <v>4</v>
      </c>
      <c r="V415" s="2">
        <v>35375.864996267977</v>
      </c>
      <c r="W415" s="2">
        <v>9.5428540000000002</v>
      </c>
    </row>
    <row r="416" spans="1:23" x14ac:dyDescent="0.35">
      <c r="A416" s="2">
        <v>5</v>
      </c>
      <c r="B416" s="2">
        <v>33936.300303709191</v>
      </c>
      <c r="C416" s="2">
        <v>93.869384999999994</v>
      </c>
      <c r="E416" s="2">
        <v>5</v>
      </c>
      <c r="F416" s="2">
        <v>34010.615010420974</v>
      </c>
      <c r="G416" s="2">
        <v>86.80359</v>
      </c>
      <c r="I416" s="2">
        <v>5</v>
      </c>
      <c r="J416" s="2">
        <v>36997.078765527149</v>
      </c>
      <c r="K416" s="2">
        <v>10.510555999999999</v>
      </c>
      <c r="M416" s="2">
        <v>5</v>
      </c>
      <c r="N416" s="2">
        <v>35383.265529291049</v>
      </c>
      <c r="O416" s="2">
        <v>108.557311</v>
      </c>
      <c r="Q416" s="2">
        <v>5</v>
      </c>
      <c r="R416" s="2">
        <v>39236.884898455042</v>
      </c>
      <c r="S416" s="2">
        <v>9.6471490000000006</v>
      </c>
      <c r="U416" s="2">
        <v>5</v>
      </c>
      <c r="V416" s="2">
        <v>38182.312418862028</v>
      </c>
      <c r="W416" s="2">
        <v>9.8176780000000008</v>
      </c>
    </row>
    <row r="417" spans="1:23" x14ac:dyDescent="0.35">
      <c r="A417" s="2">
        <v>6</v>
      </c>
      <c r="B417" s="2">
        <v>33872.160904454162</v>
      </c>
      <c r="C417" s="2">
        <v>93.551193999999995</v>
      </c>
      <c r="E417" s="2">
        <v>6</v>
      </c>
      <c r="F417" s="2">
        <v>34022.139386425217</v>
      </c>
      <c r="G417" s="2">
        <v>86.234144999999998</v>
      </c>
      <c r="I417" s="2">
        <v>6</v>
      </c>
      <c r="J417" s="2">
        <v>35138.41639339691</v>
      </c>
      <c r="K417" s="2">
        <v>10.244201</v>
      </c>
      <c r="M417" s="2">
        <v>6</v>
      </c>
      <c r="N417" s="2">
        <v>34627.394860905501</v>
      </c>
      <c r="O417" s="2">
        <v>109.75452300000001</v>
      </c>
      <c r="Q417" s="2">
        <v>6</v>
      </c>
      <c r="R417" s="2">
        <v>39759.929983870963</v>
      </c>
      <c r="S417" s="2">
        <v>10.364195</v>
      </c>
      <c r="U417" s="2">
        <v>6</v>
      </c>
      <c r="V417" s="2">
        <v>37183.628021939876</v>
      </c>
      <c r="W417" s="2">
        <v>10.311747</v>
      </c>
    </row>
    <row r="418" spans="1:23" x14ac:dyDescent="0.35">
      <c r="A418" s="2">
        <v>7</v>
      </c>
      <c r="B418" s="2">
        <v>33639.250247955293</v>
      </c>
      <c r="C418" s="2">
        <v>90.070618999999994</v>
      </c>
      <c r="E418" s="2">
        <v>7</v>
      </c>
      <c r="F418" s="2">
        <v>34346.433169880242</v>
      </c>
      <c r="G418" s="2">
        <v>87.418970999999999</v>
      </c>
      <c r="I418" s="2">
        <v>7</v>
      </c>
      <c r="J418" s="2">
        <v>36585.208796287494</v>
      </c>
      <c r="K418" s="2">
        <v>10.305211999999999</v>
      </c>
      <c r="M418" s="2">
        <v>7</v>
      </c>
      <c r="N418" s="2">
        <v>35836.898169588509</v>
      </c>
      <c r="O418" s="2">
        <v>109.088363</v>
      </c>
      <c r="Q418" s="2">
        <v>7</v>
      </c>
      <c r="R418" s="2">
        <v>39246.407585480709</v>
      </c>
      <c r="S418" s="2">
        <v>9.7286300000000008</v>
      </c>
      <c r="U418" s="2">
        <v>7</v>
      </c>
      <c r="V418" s="2">
        <v>38761.4633715405</v>
      </c>
      <c r="W418" s="2">
        <v>10.038392999999999</v>
      </c>
    </row>
    <row r="419" spans="1:23" x14ac:dyDescent="0.35">
      <c r="A419" s="2">
        <v>8</v>
      </c>
      <c r="B419" s="2">
        <v>33872.160904454169</v>
      </c>
      <c r="C419" s="2">
        <v>94.193822999999995</v>
      </c>
      <c r="E419" s="2">
        <v>8</v>
      </c>
      <c r="F419" s="2">
        <v>33632.12940812025</v>
      </c>
      <c r="G419" s="2">
        <v>84.759097999999994</v>
      </c>
      <c r="I419" s="2">
        <v>8</v>
      </c>
      <c r="J419" s="2">
        <v>35681.675619288988</v>
      </c>
      <c r="K419" s="2">
        <v>9.0316600000000005</v>
      </c>
      <c r="M419" s="2">
        <v>8</v>
      </c>
      <c r="N419" s="2">
        <v>35716.39819424411</v>
      </c>
      <c r="O419" s="2">
        <v>107.69668799999999</v>
      </c>
      <c r="Q419" s="2">
        <v>8</v>
      </c>
      <c r="R419" s="2">
        <v>39236.884898455042</v>
      </c>
      <c r="S419" s="2">
        <v>9.4848710000000001</v>
      </c>
      <c r="U419" s="2">
        <v>8</v>
      </c>
      <c r="V419" s="2">
        <v>37152.019028008617</v>
      </c>
      <c r="W419" s="2">
        <v>10.161714</v>
      </c>
    </row>
    <row r="420" spans="1:23" x14ac:dyDescent="0.35">
      <c r="A420" s="2">
        <v>9</v>
      </c>
      <c r="B420" s="2">
        <v>34077.212378395379</v>
      </c>
      <c r="C420" s="2">
        <v>93.994881000000007</v>
      </c>
      <c r="E420" s="2">
        <v>9</v>
      </c>
      <c r="F420" s="2">
        <v>33930.520831208509</v>
      </c>
      <c r="G420" s="2">
        <v>83.516812000000002</v>
      </c>
      <c r="I420" s="2">
        <v>9</v>
      </c>
      <c r="J420" s="2">
        <v>37401.667362925618</v>
      </c>
      <c r="K420" s="2">
        <v>9.9685369999999995</v>
      </c>
      <c r="M420" s="2">
        <v>9</v>
      </c>
      <c r="N420" s="2">
        <v>34304.252539428868</v>
      </c>
      <c r="O420" s="2">
        <v>109.771158</v>
      </c>
      <c r="Q420" s="2">
        <v>9</v>
      </c>
      <c r="R420" s="2">
        <v>39246.407585480709</v>
      </c>
      <c r="S420" s="2">
        <v>10.085457999999999</v>
      </c>
      <c r="U420" s="2">
        <v>9</v>
      </c>
      <c r="V420" s="2">
        <v>37247.522517465564</v>
      </c>
      <c r="W420" s="2">
        <v>9.5979670000000006</v>
      </c>
    </row>
    <row r="421" spans="1:23" x14ac:dyDescent="0.35">
      <c r="A421" s="2">
        <v>10</v>
      </c>
      <c r="B421" s="2">
        <v>33627.812773240621</v>
      </c>
      <c r="C421" s="2">
        <v>93.224386999999993</v>
      </c>
      <c r="E421" s="2">
        <v>10</v>
      </c>
      <c r="F421" s="2">
        <v>34297.379516915185</v>
      </c>
      <c r="G421" s="2">
        <v>88.047013000000007</v>
      </c>
      <c r="I421" s="2">
        <v>10</v>
      </c>
      <c r="J421" s="2">
        <v>35253.593960472557</v>
      </c>
      <c r="K421" s="2">
        <v>9.6161999999999992</v>
      </c>
      <c r="M421" s="2">
        <v>10</v>
      </c>
      <c r="N421" s="2">
        <v>35914.16003530626</v>
      </c>
      <c r="O421" s="2">
        <v>109.9295</v>
      </c>
      <c r="Q421" s="2">
        <v>10</v>
      </c>
      <c r="R421" s="2">
        <v>39236.884898455035</v>
      </c>
      <c r="S421" s="2">
        <v>10.388595</v>
      </c>
      <c r="U421" s="2">
        <v>10</v>
      </c>
      <c r="V421" s="2">
        <v>36386.106831950216</v>
      </c>
      <c r="W421" s="2">
        <v>10.007809999999999</v>
      </c>
    </row>
    <row r="422" spans="1:23" x14ac:dyDescent="0.35">
      <c r="A422" s="2">
        <v>11</v>
      </c>
      <c r="B422" s="2">
        <v>34194.535568092186</v>
      </c>
      <c r="C422" s="2">
        <v>93.151799999999994</v>
      </c>
      <c r="E422" s="2">
        <v>11</v>
      </c>
      <c r="F422" s="2">
        <v>33523.708507435585</v>
      </c>
      <c r="G422" s="2">
        <v>86.526678000000004</v>
      </c>
      <c r="I422" s="2">
        <v>11</v>
      </c>
      <c r="J422" s="2">
        <v>36533.484254126794</v>
      </c>
      <c r="K422" s="2">
        <v>10.351746</v>
      </c>
      <c r="M422" s="2">
        <v>11</v>
      </c>
      <c r="N422" s="2">
        <v>34627.394860905501</v>
      </c>
      <c r="O422" s="2">
        <v>109.84155800000001</v>
      </c>
      <c r="Q422" s="2">
        <v>11</v>
      </c>
      <c r="R422" s="2">
        <v>39393.074754428228</v>
      </c>
      <c r="S422" s="2">
        <v>9.4688750000000006</v>
      </c>
      <c r="U422" s="2">
        <v>11</v>
      </c>
      <c r="V422" s="2">
        <v>38756.954860409569</v>
      </c>
      <c r="W422" s="2">
        <v>9.4999579999999995</v>
      </c>
    </row>
    <row r="423" spans="1:23" x14ac:dyDescent="0.35">
      <c r="A423" s="2">
        <v>12</v>
      </c>
      <c r="B423" s="2">
        <v>33632.12940812025</v>
      </c>
      <c r="C423" s="2">
        <v>93.148347000000001</v>
      </c>
      <c r="E423" s="2">
        <v>12</v>
      </c>
      <c r="F423" s="2">
        <v>33772.052908611018</v>
      </c>
      <c r="G423" s="2">
        <v>87.635997000000003</v>
      </c>
      <c r="I423" s="2">
        <v>12</v>
      </c>
      <c r="J423" s="2">
        <v>36715.075144332368</v>
      </c>
      <c r="K423" s="2">
        <v>10.320389</v>
      </c>
      <c r="M423" s="2">
        <v>12</v>
      </c>
      <c r="N423" s="2">
        <v>33600.561458470707</v>
      </c>
      <c r="O423" s="2">
        <v>110.540435</v>
      </c>
      <c r="Q423" s="2">
        <v>12</v>
      </c>
      <c r="R423" s="2">
        <v>39236.884898455035</v>
      </c>
      <c r="S423" s="2">
        <v>10.156359999999999</v>
      </c>
      <c r="U423" s="2">
        <v>12</v>
      </c>
      <c r="V423" s="2">
        <v>37876.471896896714</v>
      </c>
      <c r="W423" s="2">
        <v>9.8584639999999997</v>
      </c>
    </row>
    <row r="424" spans="1:23" x14ac:dyDescent="0.35">
      <c r="A424" s="2">
        <v>13</v>
      </c>
      <c r="B424" s="2">
        <v>34013.281941193083</v>
      </c>
      <c r="C424" s="2">
        <v>93.341735999999997</v>
      </c>
      <c r="E424" s="2">
        <v>13</v>
      </c>
      <c r="F424" s="2">
        <v>34813.233760693445</v>
      </c>
      <c r="G424" s="2">
        <v>88.274811</v>
      </c>
      <c r="I424" s="2">
        <v>13</v>
      </c>
      <c r="J424" s="2">
        <v>35782.440981021122</v>
      </c>
      <c r="K424" s="2">
        <v>10.690033</v>
      </c>
      <c r="M424" s="2">
        <v>13</v>
      </c>
      <c r="N424" s="2">
        <v>34527.709762536528</v>
      </c>
      <c r="O424" s="2">
        <v>105.957319</v>
      </c>
      <c r="Q424" s="2">
        <v>13</v>
      </c>
      <c r="R424" s="2">
        <v>39759.929983870963</v>
      </c>
      <c r="S424" s="2">
        <v>10.043112000000001</v>
      </c>
      <c r="U424" s="2">
        <v>13</v>
      </c>
      <c r="V424" s="2">
        <v>36651.946204282744</v>
      </c>
      <c r="W424" s="2">
        <v>10.120355999999999</v>
      </c>
    </row>
    <row r="425" spans="1:23" x14ac:dyDescent="0.35">
      <c r="A425" s="2">
        <v>14</v>
      </c>
      <c r="B425" s="2">
        <v>34132.335093247566</v>
      </c>
      <c r="C425" s="2">
        <v>93.079105999999996</v>
      </c>
      <c r="E425" s="2">
        <v>14</v>
      </c>
      <c r="F425" s="2">
        <v>33523.708507435585</v>
      </c>
      <c r="G425" s="2">
        <v>87.461554000000007</v>
      </c>
      <c r="I425" s="2">
        <v>14</v>
      </c>
      <c r="J425" s="2">
        <v>37478.479041285311</v>
      </c>
      <c r="K425" s="2">
        <v>10.53708</v>
      </c>
      <c r="M425" s="2">
        <v>14</v>
      </c>
      <c r="N425" s="2">
        <v>34270.128202145272</v>
      </c>
      <c r="O425" s="2">
        <v>108.94911</v>
      </c>
      <c r="Q425" s="2">
        <v>14</v>
      </c>
      <c r="R425" s="2">
        <v>39759.929983870963</v>
      </c>
      <c r="S425" s="2">
        <v>9.8990550000000006</v>
      </c>
      <c r="U425" s="2">
        <v>14</v>
      </c>
      <c r="V425" s="2">
        <v>35668.165363120897</v>
      </c>
      <c r="W425" s="2">
        <v>10.120564</v>
      </c>
    </row>
    <row r="426" spans="1:23" x14ac:dyDescent="0.35">
      <c r="A426" s="2">
        <v>15</v>
      </c>
      <c r="B426" s="2">
        <v>33607.682298305735</v>
      </c>
      <c r="C426" s="2">
        <v>94.667760999999999</v>
      </c>
      <c r="E426" s="2">
        <v>15</v>
      </c>
      <c r="F426" s="2">
        <v>33784.027009908306</v>
      </c>
      <c r="G426" s="2">
        <v>86.278854999999993</v>
      </c>
      <c r="I426" s="2">
        <v>15</v>
      </c>
      <c r="J426" s="2">
        <v>37790.325010802459</v>
      </c>
      <c r="K426" s="2">
        <v>9.8254660000000005</v>
      </c>
      <c r="M426" s="2">
        <v>15</v>
      </c>
      <c r="N426" s="2">
        <v>36102.045336619121</v>
      </c>
      <c r="O426" s="2">
        <v>110.159806</v>
      </c>
      <c r="Q426" s="2">
        <v>15</v>
      </c>
      <c r="R426" s="2">
        <v>39236.884898455042</v>
      </c>
      <c r="S426" s="2">
        <v>10.187412</v>
      </c>
      <c r="U426" s="2">
        <v>15</v>
      </c>
      <c r="V426" s="2">
        <v>37344.70176679235</v>
      </c>
      <c r="W426" s="2">
        <v>10.554809000000001</v>
      </c>
    </row>
    <row r="427" spans="1:23" x14ac:dyDescent="0.35">
      <c r="A427" s="2">
        <v>16</v>
      </c>
      <c r="B427" s="2">
        <v>34451.08701153838</v>
      </c>
      <c r="C427" s="2">
        <v>94.600178</v>
      </c>
      <c r="E427" s="2">
        <v>16</v>
      </c>
      <c r="F427" s="2">
        <v>33600.561458470707</v>
      </c>
      <c r="G427" s="2">
        <v>87.674164000000005</v>
      </c>
      <c r="I427" s="2">
        <v>16</v>
      </c>
      <c r="J427" s="2">
        <v>36543.201530104372</v>
      </c>
      <c r="K427" s="2">
        <v>9.8740790000000001</v>
      </c>
      <c r="M427" s="2">
        <v>16</v>
      </c>
      <c r="N427" s="2">
        <v>35716.39819424411</v>
      </c>
      <c r="O427" s="2">
        <v>109.883836</v>
      </c>
      <c r="Q427" s="2">
        <v>16</v>
      </c>
      <c r="R427" s="2">
        <v>39759.929983870963</v>
      </c>
      <c r="S427" s="2">
        <v>9.862387</v>
      </c>
      <c r="U427" s="2">
        <v>16</v>
      </c>
      <c r="V427" s="2">
        <v>36152.899888288543</v>
      </c>
      <c r="W427" s="2">
        <v>8.8635540000000006</v>
      </c>
    </row>
    <row r="428" spans="1:23" x14ac:dyDescent="0.35">
      <c r="A428" s="2">
        <v>17</v>
      </c>
      <c r="B428" s="2">
        <v>33928.581759024906</v>
      </c>
      <c r="C428" s="2">
        <v>92.196676999999994</v>
      </c>
      <c r="E428" s="2">
        <v>17</v>
      </c>
      <c r="F428" s="2">
        <v>33906.13654246246</v>
      </c>
      <c r="G428" s="2">
        <v>88.055082999999996</v>
      </c>
      <c r="I428" s="2">
        <v>17</v>
      </c>
      <c r="J428" s="2">
        <v>37578.887545590958</v>
      </c>
      <c r="K428" s="2">
        <v>9.6069429999999993</v>
      </c>
      <c r="M428" s="2">
        <v>17</v>
      </c>
      <c r="N428" s="2">
        <v>35836.898169588509</v>
      </c>
      <c r="O428" s="2">
        <v>108.488805</v>
      </c>
      <c r="Q428" s="2">
        <v>17</v>
      </c>
      <c r="R428" s="2">
        <v>40526.421056303741</v>
      </c>
      <c r="S428" s="2">
        <v>10.485658000000001</v>
      </c>
      <c r="U428" s="2">
        <v>17</v>
      </c>
      <c r="V428" s="2">
        <v>36808.83893053198</v>
      </c>
      <c r="W428" s="2">
        <v>10.475733999999999</v>
      </c>
    </row>
    <row r="429" spans="1:23" x14ac:dyDescent="0.35">
      <c r="A429" s="2">
        <v>18</v>
      </c>
      <c r="B429" s="2">
        <v>33659.380722890171</v>
      </c>
      <c r="C429" s="2">
        <v>92.579659000000007</v>
      </c>
      <c r="E429" s="2">
        <v>18</v>
      </c>
      <c r="F429" s="2">
        <v>33632.12940812025</v>
      </c>
      <c r="G429" s="2">
        <v>86.452138000000005</v>
      </c>
      <c r="I429" s="2">
        <v>18</v>
      </c>
      <c r="J429" s="2">
        <v>37831.174682143959</v>
      </c>
      <c r="K429" s="2">
        <v>10.611140000000001</v>
      </c>
      <c r="M429" s="2">
        <v>18</v>
      </c>
      <c r="N429" s="2">
        <v>35716.39819424411</v>
      </c>
      <c r="O429" s="2">
        <v>109.09787300000001</v>
      </c>
      <c r="Q429" s="2">
        <v>18</v>
      </c>
      <c r="R429" s="2">
        <v>39555.070274633974</v>
      </c>
      <c r="S429" s="2">
        <v>10.300032</v>
      </c>
      <c r="U429" s="2">
        <v>18</v>
      </c>
      <c r="V429" s="2">
        <v>37296.124563778823</v>
      </c>
      <c r="W429" s="2">
        <v>9.6473549999999992</v>
      </c>
    </row>
    <row r="430" spans="1:23" x14ac:dyDescent="0.35">
      <c r="A430" s="2">
        <v>19</v>
      </c>
      <c r="B430" s="2">
        <v>33600.561458470707</v>
      </c>
      <c r="C430" s="2">
        <v>91.842389999999995</v>
      </c>
      <c r="E430" s="2">
        <v>19</v>
      </c>
      <c r="F430" s="2">
        <v>33523.708507435585</v>
      </c>
      <c r="G430" s="2">
        <v>87.099258000000006</v>
      </c>
      <c r="I430" s="2">
        <v>19</v>
      </c>
      <c r="J430" s="2">
        <v>35444.410404615257</v>
      </c>
      <c r="K430" s="2">
        <v>10.112418</v>
      </c>
      <c r="M430" s="2">
        <v>19</v>
      </c>
      <c r="N430" s="2">
        <v>35716.39819424411</v>
      </c>
      <c r="O430" s="2">
        <v>107.27462199999999</v>
      </c>
      <c r="Q430" s="2">
        <v>19</v>
      </c>
      <c r="R430" s="2">
        <v>39810.998805661322</v>
      </c>
      <c r="S430" s="2">
        <v>10.273712</v>
      </c>
      <c r="U430" s="2">
        <v>19</v>
      </c>
      <c r="V430" s="2">
        <v>37457.911859460961</v>
      </c>
      <c r="W430" s="2">
        <v>10.394921</v>
      </c>
    </row>
    <row r="431" spans="1:23" x14ac:dyDescent="0.35">
      <c r="A431" s="2">
        <v>20</v>
      </c>
      <c r="B431" s="2">
        <v>33772.052908611011</v>
      </c>
      <c r="C431" s="2">
        <v>92.341088999999997</v>
      </c>
      <c r="E431" s="2">
        <v>20</v>
      </c>
      <c r="F431" s="2">
        <v>33929.542635110993</v>
      </c>
      <c r="G431" s="2">
        <v>88.233361000000002</v>
      </c>
      <c r="I431" s="2">
        <v>20</v>
      </c>
      <c r="J431" s="2">
        <v>37325.625074331168</v>
      </c>
      <c r="K431" s="2">
        <v>10.396848</v>
      </c>
      <c r="M431" s="2">
        <v>20</v>
      </c>
      <c r="N431" s="2">
        <v>35836.898169588509</v>
      </c>
      <c r="O431" s="2">
        <v>110.468717</v>
      </c>
      <c r="Q431" s="2">
        <v>20</v>
      </c>
      <c r="R431" s="2">
        <v>39236.884898455042</v>
      </c>
      <c r="S431" s="2">
        <v>9.8659750000000006</v>
      </c>
      <c r="U431" s="2">
        <v>20</v>
      </c>
      <c r="V431" s="2">
        <v>35253.987681805062</v>
      </c>
      <c r="W431" s="2">
        <v>10.159497999999999</v>
      </c>
    </row>
    <row r="432" spans="1:23" x14ac:dyDescent="0.35">
      <c r="A432" s="2" t="s">
        <v>19</v>
      </c>
      <c r="B432" s="3">
        <f>AVERAGE(B412:B431)</f>
        <v>33927.695859711232</v>
      </c>
      <c r="C432" s="3">
        <f>AVERAGE(C412:C431)</f>
        <v>93.219637949999978</v>
      </c>
      <c r="F432" s="3">
        <f>AVERAGE(F412:F431)</f>
        <v>33931.266389587843</v>
      </c>
      <c r="G432" s="3">
        <f>AVERAGE(G412:G431)</f>
        <v>86.863692499999999</v>
      </c>
      <c r="H432" s="3"/>
      <c r="J432" s="3">
        <f>AVERAGE(J412:J431)</f>
        <v>36758.385498312215</v>
      </c>
      <c r="K432" s="3">
        <f>AVERAGE(K412:K431)</f>
        <v>10.159423100000001</v>
      </c>
      <c r="L432" s="3"/>
      <c r="N432" s="3">
        <f>AVERAGE(N412:N431)</f>
        <v>35439.972611829689</v>
      </c>
      <c r="O432" s="3">
        <f>AVERAGE(O412:O431)</f>
        <v>109.07882740000002</v>
      </c>
      <c r="P432" s="3"/>
      <c r="R432" s="3">
        <f>AVERAGE(R412:R431)</f>
        <v>39506.091053566546</v>
      </c>
      <c r="S432" s="3">
        <f>AVERAGE(S412:S431)</f>
        <v>10.03632715</v>
      </c>
      <c r="T432" s="3"/>
      <c r="V432" s="3">
        <f>AVERAGE(V412:V431)</f>
        <v>36917.702550299269</v>
      </c>
      <c r="W432" s="3">
        <f>AVERAGE(W412:W431)</f>
        <v>9.9121913500000005</v>
      </c>
    </row>
    <row r="433" spans="1:23" x14ac:dyDescent="0.35">
      <c r="A433" s="2" t="s">
        <v>36</v>
      </c>
      <c r="B433" s="2" cm="1">
        <f t="array" ref="B433">[1]!SignTest(B412:B431,F412:F431,2)</f>
        <v>0.82380294799804688</v>
      </c>
      <c r="C433" s="2" cm="1">
        <f t="array" ref="C433">[1]!SignTest(C412:C431,G412:G431,2)</f>
        <v>1.9073486328125E-6</v>
      </c>
    </row>
    <row r="434" spans="1:23" ht="21" x14ac:dyDescent="0.5">
      <c r="A434" s="10" t="s">
        <v>28</v>
      </c>
      <c r="B434" s="10"/>
      <c r="C434" s="10"/>
      <c r="E434" s="10" t="s">
        <v>28</v>
      </c>
      <c r="F434" s="10"/>
      <c r="G434" s="10"/>
      <c r="H434" s="1"/>
      <c r="I434" s="10" t="s">
        <v>28</v>
      </c>
      <c r="J434" s="10"/>
      <c r="K434" s="10"/>
      <c r="L434" s="1"/>
      <c r="M434" s="10" t="s">
        <v>28</v>
      </c>
      <c r="N434" s="10"/>
      <c r="O434" s="10"/>
      <c r="P434" s="1"/>
      <c r="Q434" s="10" t="s">
        <v>28</v>
      </c>
      <c r="R434" s="10"/>
      <c r="S434" s="10"/>
      <c r="T434" s="1"/>
      <c r="U434" s="10" t="s">
        <v>28</v>
      </c>
      <c r="V434" s="10"/>
      <c r="W434" s="10"/>
    </row>
    <row r="435" spans="1:23" x14ac:dyDescent="0.35">
      <c r="A435" s="2" t="s">
        <v>15</v>
      </c>
      <c r="B435" s="2" t="s">
        <v>16</v>
      </c>
      <c r="C435" s="2" t="s">
        <v>17</v>
      </c>
      <c r="E435" s="2" t="s">
        <v>15</v>
      </c>
      <c r="F435" s="2" t="s">
        <v>16</v>
      </c>
      <c r="G435" s="2" t="s">
        <v>17</v>
      </c>
      <c r="I435" s="2" t="s">
        <v>15</v>
      </c>
      <c r="J435" s="2" t="s">
        <v>16</v>
      </c>
      <c r="K435" s="2" t="s">
        <v>17</v>
      </c>
      <c r="M435" s="2" t="s">
        <v>15</v>
      </c>
      <c r="N435" s="2" t="s">
        <v>16</v>
      </c>
      <c r="O435" s="2" t="s">
        <v>17</v>
      </c>
      <c r="Q435" s="2" t="s">
        <v>15</v>
      </c>
      <c r="R435" s="2" t="s">
        <v>16</v>
      </c>
      <c r="S435" s="2" t="s">
        <v>17</v>
      </c>
      <c r="U435" s="2" t="s">
        <v>15</v>
      </c>
      <c r="V435" s="2" t="s">
        <v>16</v>
      </c>
      <c r="W435" s="2" t="s">
        <v>17</v>
      </c>
    </row>
    <row r="436" spans="1:23" x14ac:dyDescent="0.35">
      <c r="A436" s="2">
        <v>1</v>
      </c>
      <c r="B436" s="2">
        <v>538.17279740523156</v>
      </c>
      <c r="C436" s="2">
        <v>717.73766799999999</v>
      </c>
      <c r="E436" s="2">
        <v>1</v>
      </c>
      <c r="F436" s="2">
        <v>514.60404679033877</v>
      </c>
      <c r="G436" s="2">
        <v>677.69161599999995</v>
      </c>
      <c r="I436" s="2">
        <v>1</v>
      </c>
      <c r="J436" s="2">
        <v>600.25249026508322</v>
      </c>
      <c r="K436" s="2">
        <v>34.776972999999998</v>
      </c>
      <c r="M436" s="2">
        <v>1</v>
      </c>
      <c r="N436" s="2">
        <v>548.42469286883977</v>
      </c>
      <c r="O436" s="2">
        <v>1039.8978050000001</v>
      </c>
      <c r="Q436" s="2">
        <v>1</v>
      </c>
      <c r="R436" s="2">
        <v>593.96956789505384</v>
      </c>
      <c r="S436" s="2">
        <v>34.162064000000001</v>
      </c>
      <c r="U436" s="2">
        <v>1</v>
      </c>
      <c r="V436" s="2">
        <v>623.203207946151</v>
      </c>
      <c r="W436" s="2">
        <v>33.51681</v>
      </c>
    </row>
    <row r="437" spans="1:23" x14ac:dyDescent="0.35">
      <c r="A437" s="2">
        <v>2</v>
      </c>
      <c r="B437" s="2">
        <v>527.47819486064873</v>
      </c>
      <c r="C437" s="2">
        <v>713.15302699999995</v>
      </c>
      <c r="E437" s="2">
        <v>2</v>
      </c>
      <c r="F437" s="2">
        <v>530.01112475905234</v>
      </c>
      <c r="G437" s="2">
        <v>682.05176800000004</v>
      </c>
      <c r="I437" s="2">
        <v>2</v>
      </c>
      <c r="J437" s="2">
        <v>583.79985262279115</v>
      </c>
      <c r="K437" s="2">
        <v>35.324379999999998</v>
      </c>
      <c r="M437" s="2">
        <v>2</v>
      </c>
      <c r="N437" s="2">
        <v>568.0386003474174</v>
      </c>
      <c r="O437" s="2">
        <v>1019.225022</v>
      </c>
      <c r="Q437" s="2">
        <v>2</v>
      </c>
      <c r="R437" s="2">
        <v>624.15938100818539</v>
      </c>
      <c r="S437" s="2">
        <v>35.320315000000001</v>
      </c>
      <c r="U437" s="2">
        <v>2</v>
      </c>
      <c r="V437" s="2">
        <v>570.23559750761979</v>
      </c>
      <c r="W437" s="2">
        <v>35.117739999999998</v>
      </c>
    </row>
    <row r="438" spans="1:23" x14ac:dyDescent="0.35">
      <c r="A438" s="2">
        <v>3</v>
      </c>
      <c r="B438" s="2">
        <v>512.9242787863227</v>
      </c>
      <c r="C438" s="2">
        <v>709.64819199999999</v>
      </c>
      <c r="E438" s="2">
        <v>3</v>
      </c>
      <c r="F438" s="2">
        <v>521.53733559186105</v>
      </c>
      <c r="G438" s="2">
        <v>683.79260799999997</v>
      </c>
      <c r="I438" s="2">
        <v>3</v>
      </c>
      <c r="J438" s="2">
        <v>632.90130495609901</v>
      </c>
      <c r="K438" s="2">
        <v>34.321395000000003</v>
      </c>
      <c r="M438" s="2">
        <v>3</v>
      </c>
      <c r="N438" s="2">
        <v>580.30858143756859</v>
      </c>
      <c r="O438" s="2">
        <v>1017.8127019999999</v>
      </c>
      <c r="Q438" s="2">
        <v>3</v>
      </c>
      <c r="R438" s="2">
        <v>578.34330072979571</v>
      </c>
      <c r="S438" s="2">
        <v>34.931685999999999</v>
      </c>
      <c r="U438" s="2">
        <v>3</v>
      </c>
      <c r="V438" s="2">
        <v>596.67372654773487</v>
      </c>
      <c r="W438" s="2">
        <v>34.704027000000004</v>
      </c>
    </row>
    <row r="439" spans="1:23" x14ac:dyDescent="0.35">
      <c r="A439" s="2">
        <v>4</v>
      </c>
      <c r="B439" s="2">
        <v>520.1863038276997</v>
      </c>
      <c r="C439" s="2">
        <v>717.98664699999995</v>
      </c>
      <c r="E439" s="2">
        <v>4</v>
      </c>
      <c r="F439" s="2">
        <v>533.6737258135048</v>
      </c>
      <c r="G439" s="2">
        <v>680.08481400000005</v>
      </c>
      <c r="I439" s="2">
        <v>4</v>
      </c>
      <c r="J439" s="2">
        <v>572.43856814444428</v>
      </c>
      <c r="K439" s="2">
        <v>35.693415000000002</v>
      </c>
      <c r="M439" s="2">
        <v>4</v>
      </c>
      <c r="N439" s="2">
        <v>517.08577762070092</v>
      </c>
      <c r="O439" s="2">
        <v>1056.3988429999999</v>
      </c>
      <c r="Q439" s="2">
        <v>4</v>
      </c>
      <c r="R439" s="2">
        <v>610.26744959956648</v>
      </c>
      <c r="S439" s="2">
        <v>34.234178999999997</v>
      </c>
      <c r="U439" s="2">
        <v>4</v>
      </c>
      <c r="V439" s="2">
        <v>583.85869149676921</v>
      </c>
      <c r="W439" s="2">
        <v>34.478026</v>
      </c>
    </row>
    <row r="440" spans="1:23" x14ac:dyDescent="0.35">
      <c r="A440" s="2">
        <v>5</v>
      </c>
      <c r="B440" s="2">
        <v>513.23743225518604</v>
      </c>
      <c r="C440" s="2">
        <v>716.61524699999995</v>
      </c>
      <c r="E440" s="2">
        <v>5</v>
      </c>
      <c r="F440" s="2">
        <v>513.41413071024465</v>
      </c>
      <c r="G440" s="2">
        <v>675.86211400000002</v>
      </c>
      <c r="I440" s="2">
        <v>5</v>
      </c>
      <c r="J440" s="2">
        <v>605.20157951331089</v>
      </c>
      <c r="K440" s="2">
        <v>35.760193000000001</v>
      </c>
      <c r="M440" s="2">
        <v>5</v>
      </c>
      <c r="N440" s="2">
        <v>552.28317631579773</v>
      </c>
      <c r="O440" s="2">
        <v>1034.4328829999999</v>
      </c>
      <c r="Q440" s="2">
        <v>5</v>
      </c>
      <c r="R440" s="2">
        <v>589.8597989586475</v>
      </c>
      <c r="S440" s="2">
        <v>34.715564999999998</v>
      </c>
      <c r="U440" s="2">
        <v>5</v>
      </c>
      <c r="V440" s="2">
        <v>588.32308140900341</v>
      </c>
      <c r="W440" s="2">
        <v>34.656630999999997</v>
      </c>
    </row>
    <row r="441" spans="1:23" x14ac:dyDescent="0.35">
      <c r="A441" s="2">
        <v>6</v>
      </c>
      <c r="B441" s="2">
        <v>520.70519192841698</v>
      </c>
      <c r="C441" s="2">
        <v>701.99044000000004</v>
      </c>
      <c r="E441" s="2">
        <v>6</v>
      </c>
      <c r="F441" s="2">
        <v>517.37275723057519</v>
      </c>
      <c r="G441" s="2">
        <v>680.50542299999995</v>
      </c>
      <c r="I441" s="2">
        <v>6</v>
      </c>
      <c r="J441" s="2">
        <v>614.15613701711811</v>
      </c>
      <c r="K441" s="2">
        <v>36.015034</v>
      </c>
      <c r="M441" s="2">
        <v>6</v>
      </c>
      <c r="N441" s="2">
        <v>548.59739379588132</v>
      </c>
      <c r="O441" s="2">
        <v>1028.833754</v>
      </c>
      <c r="Q441" s="2">
        <v>6</v>
      </c>
      <c r="R441" s="2">
        <v>643.08879330013974</v>
      </c>
      <c r="S441" s="2">
        <v>32.953173</v>
      </c>
      <c r="U441" s="2">
        <v>6</v>
      </c>
      <c r="V441" s="2">
        <v>592.01032091513844</v>
      </c>
      <c r="W441" s="2">
        <v>34.477986000000001</v>
      </c>
    </row>
    <row r="442" spans="1:23" x14ac:dyDescent="0.35">
      <c r="A442" s="2">
        <v>7</v>
      </c>
      <c r="B442" s="2">
        <v>521.54325383888988</v>
      </c>
      <c r="C442" s="2">
        <v>723.65038600000003</v>
      </c>
      <c r="E442" s="2">
        <v>7</v>
      </c>
      <c r="F442" s="2">
        <v>529.32319504696022</v>
      </c>
      <c r="G442" s="2">
        <v>679.27212299999997</v>
      </c>
      <c r="I442" s="2">
        <v>7</v>
      </c>
      <c r="J442" s="2">
        <v>635.22488965862567</v>
      </c>
      <c r="K442" s="2">
        <v>35.677655999999999</v>
      </c>
      <c r="M442" s="2">
        <v>7</v>
      </c>
      <c r="N442" s="2">
        <v>558.31830369447493</v>
      </c>
      <c r="O442" s="2">
        <v>1040.1200590000001</v>
      </c>
      <c r="Q442" s="2">
        <v>7</v>
      </c>
      <c r="R442" s="2">
        <v>597.32853765840991</v>
      </c>
      <c r="S442" s="2">
        <v>34.800038999999998</v>
      </c>
      <c r="U442" s="2">
        <v>7</v>
      </c>
      <c r="V442" s="2">
        <v>603.99328216619449</v>
      </c>
      <c r="W442" s="2">
        <v>33.175077999999999</v>
      </c>
    </row>
    <row r="443" spans="1:23" x14ac:dyDescent="0.35">
      <c r="A443" s="2">
        <v>8</v>
      </c>
      <c r="B443" s="2">
        <v>529.22026120524697</v>
      </c>
      <c r="C443" s="2">
        <v>724.78529100000003</v>
      </c>
      <c r="E443" s="2">
        <v>8</v>
      </c>
      <c r="F443" s="2">
        <v>521.9475436779602</v>
      </c>
      <c r="G443" s="2">
        <v>679.282465</v>
      </c>
      <c r="I443" s="2">
        <v>8</v>
      </c>
      <c r="J443" s="2">
        <v>605.63251175135304</v>
      </c>
      <c r="K443" s="2">
        <v>35.719124999999998</v>
      </c>
      <c r="M443" s="2">
        <v>8</v>
      </c>
      <c r="N443" s="2">
        <v>578.65213748148983</v>
      </c>
      <c r="O443" s="2">
        <v>979.07464000000004</v>
      </c>
      <c r="Q443" s="2">
        <v>8</v>
      </c>
      <c r="R443" s="2">
        <v>627.21893161670152</v>
      </c>
      <c r="S443" s="2">
        <v>34.904094000000001</v>
      </c>
      <c r="U443" s="2">
        <v>8</v>
      </c>
      <c r="V443" s="2">
        <v>588.13771839955461</v>
      </c>
      <c r="W443" s="2">
        <v>32.025573000000001</v>
      </c>
    </row>
    <row r="444" spans="1:23" x14ac:dyDescent="0.35">
      <c r="A444" s="2">
        <v>9</v>
      </c>
      <c r="B444" s="2">
        <v>519.39806457957241</v>
      </c>
      <c r="C444" s="2">
        <v>715.05916400000001</v>
      </c>
      <c r="E444" s="2">
        <v>9</v>
      </c>
      <c r="F444" s="2">
        <v>525.974829704488</v>
      </c>
      <c r="G444" s="2">
        <v>675.38490100000001</v>
      </c>
      <c r="I444" s="2">
        <v>9</v>
      </c>
      <c r="J444" s="2">
        <v>582.58387857678952</v>
      </c>
      <c r="K444" s="2">
        <v>34.964942000000001</v>
      </c>
      <c r="M444" s="2">
        <v>9</v>
      </c>
      <c r="N444" s="2">
        <v>561.4426310633188</v>
      </c>
      <c r="O444" s="2">
        <v>1033.0596270000001</v>
      </c>
      <c r="Q444" s="2">
        <v>9</v>
      </c>
      <c r="R444" s="2">
        <v>633.01088580310773</v>
      </c>
      <c r="S444" s="2">
        <v>33.081626999999997</v>
      </c>
      <c r="U444" s="2">
        <v>9</v>
      </c>
      <c r="V444" s="2">
        <v>623.26120082016951</v>
      </c>
      <c r="W444" s="2">
        <v>32.957579000000003</v>
      </c>
    </row>
    <row r="445" spans="1:23" x14ac:dyDescent="0.35">
      <c r="A445" s="2">
        <v>10</v>
      </c>
      <c r="B445" s="2">
        <v>517.90036439568462</v>
      </c>
      <c r="C445" s="2">
        <v>721.79866200000004</v>
      </c>
      <c r="E445" s="2">
        <v>10</v>
      </c>
      <c r="F445" s="2">
        <v>525.298238120836</v>
      </c>
      <c r="G445" s="2">
        <v>678.55271500000003</v>
      </c>
      <c r="I445" s="2">
        <v>10</v>
      </c>
      <c r="J445" s="2">
        <v>600.68247322192258</v>
      </c>
      <c r="K445" s="2">
        <v>35.129098999999997</v>
      </c>
      <c r="M445" s="2">
        <v>10</v>
      </c>
      <c r="N445" s="2">
        <v>528.80131170308766</v>
      </c>
      <c r="O445" s="2">
        <v>1069.598072</v>
      </c>
      <c r="Q445" s="2">
        <v>10</v>
      </c>
      <c r="R445" s="2">
        <v>628.63638034652445</v>
      </c>
      <c r="S445" s="2">
        <v>33.243423999999997</v>
      </c>
      <c r="U445" s="2">
        <v>10</v>
      </c>
      <c r="V445" s="2">
        <v>563.49965734282716</v>
      </c>
      <c r="W445" s="2">
        <v>33.586095999999998</v>
      </c>
    </row>
    <row r="446" spans="1:23" x14ac:dyDescent="0.35">
      <c r="A446" s="2">
        <v>11</v>
      </c>
      <c r="B446" s="2">
        <v>530.26046457971415</v>
      </c>
      <c r="C446" s="2">
        <v>716.29013499999996</v>
      </c>
      <c r="E446" s="2">
        <v>11</v>
      </c>
      <c r="F446" s="2">
        <v>519.20023817518404</v>
      </c>
      <c r="G446" s="2">
        <v>676.05998699999998</v>
      </c>
      <c r="I446" s="2">
        <v>11</v>
      </c>
      <c r="J446" s="2">
        <v>602.58081718210747</v>
      </c>
      <c r="K446" s="2">
        <v>35.658982000000002</v>
      </c>
      <c r="M446" s="2">
        <v>11</v>
      </c>
      <c r="N446" s="2">
        <v>529.08936878798613</v>
      </c>
      <c r="O446" s="2">
        <v>1039.679048</v>
      </c>
      <c r="Q446" s="2">
        <v>11</v>
      </c>
      <c r="R446" s="2">
        <v>636.97350530224708</v>
      </c>
      <c r="S446" s="2">
        <v>34.601275999999999</v>
      </c>
      <c r="U446" s="2">
        <v>11</v>
      </c>
      <c r="V446" s="2">
        <v>590.24054177992787</v>
      </c>
      <c r="W446" s="2">
        <v>34.851219999999998</v>
      </c>
    </row>
    <row r="447" spans="1:23" x14ac:dyDescent="0.35">
      <c r="A447" s="2">
        <v>12</v>
      </c>
      <c r="B447" s="2">
        <v>534.22528442492558</v>
      </c>
      <c r="C447" s="2">
        <v>723.03450399999997</v>
      </c>
      <c r="E447" s="2">
        <v>12</v>
      </c>
      <c r="F447" s="2">
        <v>523.24711607006066</v>
      </c>
      <c r="G447" s="2">
        <v>680.58388500000001</v>
      </c>
      <c r="I447" s="2">
        <v>12</v>
      </c>
      <c r="J447" s="2">
        <v>587.90168880895976</v>
      </c>
      <c r="K447" s="2">
        <v>34.821261999999997</v>
      </c>
      <c r="M447" s="2">
        <v>12</v>
      </c>
      <c r="N447" s="2">
        <v>529.80196147965535</v>
      </c>
      <c r="O447" s="2">
        <v>991.85007199999995</v>
      </c>
      <c r="Q447" s="2">
        <v>12</v>
      </c>
      <c r="R447" s="2">
        <v>641.69219389010016</v>
      </c>
      <c r="S447" s="2">
        <v>34.415050000000001</v>
      </c>
      <c r="U447" s="2">
        <v>12</v>
      </c>
      <c r="V447" s="2">
        <v>599.17802336647469</v>
      </c>
      <c r="W447" s="2">
        <v>34.490309000000003</v>
      </c>
    </row>
    <row r="448" spans="1:23" x14ac:dyDescent="0.35">
      <c r="A448" s="2">
        <v>13</v>
      </c>
      <c r="B448" s="2">
        <v>524.17287423269806</v>
      </c>
      <c r="C448" s="2">
        <v>722.84737099999995</v>
      </c>
      <c r="E448" s="2">
        <v>13</v>
      </c>
      <c r="F448" s="2">
        <v>521.30110676508139</v>
      </c>
      <c r="G448" s="2">
        <v>675.691236</v>
      </c>
      <c r="I448" s="2">
        <v>13</v>
      </c>
      <c r="J448" s="2">
        <v>569.33228776629028</v>
      </c>
      <c r="K448" s="2">
        <v>34.365506000000003</v>
      </c>
      <c r="M448" s="2">
        <v>13</v>
      </c>
      <c r="N448" s="2">
        <v>554.20991331675816</v>
      </c>
      <c r="O448" s="2">
        <v>1050.957566</v>
      </c>
      <c r="Q448" s="2">
        <v>13</v>
      </c>
      <c r="R448" s="2">
        <v>599.66726920280973</v>
      </c>
      <c r="S448" s="2">
        <v>33.945794999999997</v>
      </c>
      <c r="U448" s="2">
        <v>13</v>
      </c>
      <c r="V448" s="2">
        <v>630.56352118003588</v>
      </c>
      <c r="W448" s="2">
        <v>34.023795</v>
      </c>
    </row>
    <row r="449" spans="1:23" x14ac:dyDescent="0.35">
      <c r="A449" s="2">
        <v>14</v>
      </c>
      <c r="B449" s="2">
        <v>514.9058003009286</v>
      </c>
      <c r="C449" s="2">
        <v>703.18775500000004</v>
      </c>
      <c r="E449" s="2">
        <v>14</v>
      </c>
      <c r="F449" s="2">
        <v>521.75488428501694</v>
      </c>
      <c r="G449" s="2">
        <v>672.44262500000002</v>
      </c>
      <c r="I449" s="2">
        <v>14</v>
      </c>
      <c r="J449" s="2">
        <v>583.60977904464073</v>
      </c>
      <c r="K449" s="2">
        <v>35.192279999999997</v>
      </c>
      <c r="M449" s="2">
        <v>14</v>
      </c>
      <c r="N449" s="2">
        <v>554.3544351637114</v>
      </c>
      <c r="O449" s="2">
        <v>1048.1776259999999</v>
      </c>
      <c r="Q449" s="2">
        <v>14</v>
      </c>
      <c r="R449" s="2">
        <v>627.05401965040892</v>
      </c>
      <c r="S449" s="2">
        <v>34.379199</v>
      </c>
      <c r="U449" s="2">
        <v>14</v>
      </c>
      <c r="V449" s="2">
        <v>596.86737388422375</v>
      </c>
      <c r="W449" s="2">
        <v>35.238605</v>
      </c>
    </row>
    <row r="450" spans="1:23" x14ac:dyDescent="0.35">
      <c r="A450" s="2">
        <v>15</v>
      </c>
      <c r="B450" s="2">
        <v>515.54399869781787</v>
      </c>
      <c r="C450" s="2">
        <v>717.42297199999996</v>
      </c>
      <c r="E450" s="2">
        <v>15</v>
      </c>
      <c r="F450" s="2">
        <v>513.41413071024465</v>
      </c>
      <c r="G450" s="2">
        <v>660.13333299999999</v>
      </c>
      <c r="I450" s="2">
        <v>15</v>
      </c>
      <c r="J450" s="2">
        <v>598.26434680138902</v>
      </c>
      <c r="K450" s="2">
        <v>35.021656999999998</v>
      </c>
      <c r="M450" s="2">
        <v>15</v>
      </c>
      <c r="N450" s="2">
        <v>559.24267175015302</v>
      </c>
      <c r="O450" s="2">
        <v>1018.984459</v>
      </c>
      <c r="Q450" s="2">
        <v>15</v>
      </c>
      <c r="R450" s="2">
        <v>625.61685102447552</v>
      </c>
      <c r="S450" s="2">
        <v>34.450043999999998</v>
      </c>
      <c r="U450" s="2">
        <v>15</v>
      </c>
      <c r="V450" s="2">
        <v>606.05538626997009</v>
      </c>
      <c r="W450" s="2">
        <v>34.363526</v>
      </c>
    </row>
    <row r="451" spans="1:23" x14ac:dyDescent="0.35">
      <c r="A451" s="2">
        <v>16</v>
      </c>
      <c r="B451" s="2">
        <v>532.18767247275559</v>
      </c>
      <c r="C451" s="2">
        <v>726.91886499999998</v>
      </c>
      <c r="E451" s="2">
        <v>16</v>
      </c>
      <c r="F451" s="2">
        <v>522.30967350553829</v>
      </c>
      <c r="G451" s="2">
        <v>671.79168800000002</v>
      </c>
      <c r="I451" s="2">
        <v>16</v>
      </c>
      <c r="J451" s="2">
        <v>614.75285021078594</v>
      </c>
      <c r="K451" s="2">
        <v>34.428514999999997</v>
      </c>
      <c r="M451" s="2">
        <v>16</v>
      </c>
      <c r="N451" s="2">
        <v>557.61627933038437</v>
      </c>
      <c r="O451" s="2">
        <v>1027.9235470000001</v>
      </c>
      <c r="Q451" s="2">
        <v>16</v>
      </c>
      <c r="R451" s="2">
        <v>605.1533404740635</v>
      </c>
      <c r="S451" s="2">
        <v>35.490194000000002</v>
      </c>
      <c r="U451" s="2">
        <v>16</v>
      </c>
      <c r="V451" s="2">
        <v>604.82160298412828</v>
      </c>
      <c r="W451" s="2">
        <v>35.148069</v>
      </c>
    </row>
    <row r="452" spans="1:23" x14ac:dyDescent="0.35">
      <c r="A452" s="2">
        <v>17</v>
      </c>
      <c r="B452" s="2">
        <v>522.31291141174484</v>
      </c>
      <c r="C452" s="2">
        <v>726.32213000000002</v>
      </c>
      <c r="E452" s="2">
        <v>17</v>
      </c>
      <c r="F452" s="2">
        <v>516.13030339565319</v>
      </c>
      <c r="G452" s="2">
        <v>678.31692199999998</v>
      </c>
      <c r="I452" s="2">
        <v>17</v>
      </c>
      <c r="J452" s="2">
        <v>589.89638197498653</v>
      </c>
      <c r="K452" s="2">
        <v>33.670383999999999</v>
      </c>
      <c r="M452" s="2">
        <v>17</v>
      </c>
      <c r="N452" s="2">
        <v>515.9920939329138</v>
      </c>
      <c r="O452" s="2">
        <v>1020.494875</v>
      </c>
      <c r="Q452" s="2">
        <v>17</v>
      </c>
      <c r="R452" s="2">
        <v>626.15012518682067</v>
      </c>
      <c r="S452" s="2">
        <v>34.572189000000002</v>
      </c>
      <c r="U452" s="2">
        <v>17</v>
      </c>
      <c r="V452" s="2">
        <v>571.76701014132459</v>
      </c>
      <c r="W452" s="2">
        <v>35.045228999999999</v>
      </c>
    </row>
    <row r="453" spans="1:23" x14ac:dyDescent="0.35">
      <c r="A453" s="2">
        <v>18</v>
      </c>
      <c r="B453" s="2">
        <v>523.09087522073685</v>
      </c>
      <c r="C453" s="2">
        <v>708.41486599999996</v>
      </c>
      <c r="E453" s="2">
        <v>18</v>
      </c>
      <c r="F453" s="2">
        <v>523.35275002650587</v>
      </c>
      <c r="G453" s="2">
        <v>674.26731900000004</v>
      </c>
      <c r="I453" s="2">
        <v>18</v>
      </c>
      <c r="J453" s="2">
        <v>577.53580437059463</v>
      </c>
      <c r="K453" s="2">
        <v>33.098882000000003</v>
      </c>
      <c r="M453" s="2">
        <v>18</v>
      </c>
      <c r="N453" s="2">
        <v>540.50753406816602</v>
      </c>
      <c r="O453" s="2">
        <v>1039.4177649999999</v>
      </c>
      <c r="Q453" s="2">
        <v>18</v>
      </c>
      <c r="R453" s="2">
        <v>628.32169722596984</v>
      </c>
      <c r="S453" s="2">
        <v>35.02816</v>
      </c>
      <c r="U453" s="2">
        <v>18</v>
      </c>
      <c r="V453" s="2">
        <v>644.19132681598535</v>
      </c>
      <c r="W453" s="2">
        <v>34.551983</v>
      </c>
    </row>
    <row r="454" spans="1:23" x14ac:dyDescent="0.35">
      <c r="A454" s="2">
        <v>19</v>
      </c>
      <c r="B454" s="2">
        <v>518.98958319522944</v>
      </c>
      <c r="C454" s="2">
        <v>722.62039200000004</v>
      </c>
      <c r="E454" s="2">
        <v>19</v>
      </c>
      <c r="F454" s="2">
        <v>527.11079398691288</v>
      </c>
      <c r="G454" s="2">
        <v>675.33660099999997</v>
      </c>
      <c r="I454" s="2">
        <v>19</v>
      </c>
      <c r="J454" s="2">
        <v>598.31359849665</v>
      </c>
      <c r="K454" s="2">
        <v>33.472375999999997</v>
      </c>
      <c r="M454" s="2">
        <v>19</v>
      </c>
      <c r="N454" s="2">
        <v>538.45996104907852</v>
      </c>
      <c r="O454" s="2">
        <v>993.35087999999996</v>
      </c>
      <c r="Q454" s="2">
        <v>19</v>
      </c>
      <c r="R454" s="2">
        <v>634.71211724588386</v>
      </c>
      <c r="S454" s="2">
        <v>34.957161999999997</v>
      </c>
      <c r="U454" s="2">
        <v>19</v>
      </c>
      <c r="V454" s="2">
        <v>596.67199042722848</v>
      </c>
      <c r="W454" s="2">
        <v>35.050198999999999</v>
      </c>
    </row>
    <row r="455" spans="1:23" x14ac:dyDescent="0.35">
      <c r="A455" s="2">
        <v>20</v>
      </c>
      <c r="B455" s="2">
        <v>529.81791247994397</v>
      </c>
      <c r="C455" s="2">
        <v>726.80306700000006</v>
      </c>
      <c r="E455" s="2">
        <v>20</v>
      </c>
      <c r="F455" s="2">
        <v>516.81090654558761</v>
      </c>
      <c r="G455" s="2">
        <v>675.019857</v>
      </c>
      <c r="I455" s="2">
        <v>20</v>
      </c>
      <c r="J455" s="2">
        <v>603.07698655785282</v>
      </c>
      <c r="K455" s="2">
        <v>35.358756</v>
      </c>
      <c r="M455" s="2">
        <v>20</v>
      </c>
      <c r="N455" s="2">
        <v>543.84051345219882</v>
      </c>
      <c r="O455" s="2">
        <v>1027.7518150000001</v>
      </c>
      <c r="Q455" s="2">
        <v>20</v>
      </c>
      <c r="R455" s="2">
        <v>607.29041101803944</v>
      </c>
      <c r="S455" s="2">
        <v>34.514367999999997</v>
      </c>
      <c r="U455" s="2">
        <v>20</v>
      </c>
      <c r="V455" s="2">
        <v>624.55974165637917</v>
      </c>
      <c r="W455" s="2">
        <v>34.498303999999997</v>
      </c>
    </row>
    <row r="456" spans="1:23" x14ac:dyDescent="0.35">
      <c r="A456" s="2" t="s">
        <v>19</v>
      </c>
      <c r="B456" s="3">
        <f>AVERAGE(B436:B455)</f>
        <v>523.31367600496969</v>
      </c>
      <c r="C456" s="3">
        <f>AVERAGE(C436:C455)</f>
        <v>717.81433905000017</v>
      </c>
      <c r="F456" s="3">
        <f>AVERAGE(F436:F455)</f>
        <v>521.88944154558033</v>
      </c>
      <c r="G456" s="3">
        <f>AVERAGE(G436:G455)</f>
        <v>676.60619999999994</v>
      </c>
      <c r="H456" s="3"/>
      <c r="J456" s="3">
        <f>AVERAGE(J436:J455)</f>
        <v>597.9069113470897</v>
      </c>
      <c r="K456" s="3">
        <f>AVERAGE(K436:K455)</f>
        <v>34.923540599999995</v>
      </c>
      <c r="L456" s="3"/>
      <c r="N456" s="3">
        <f>AVERAGE(N436:N455)</f>
        <v>548.25336693297902</v>
      </c>
      <c r="O456" s="3">
        <f>AVERAGE(O436:O455)</f>
        <v>1028.8520530000001</v>
      </c>
      <c r="P456" s="3"/>
      <c r="R456" s="3">
        <f>AVERAGE(R436:R455)</f>
        <v>617.92572785684763</v>
      </c>
      <c r="S456" s="3">
        <f>AVERAGE(S436:S455)</f>
        <v>34.434980150000001</v>
      </c>
      <c r="T456" s="3"/>
      <c r="V456" s="3">
        <f>AVERAGE(V436:V455)</f>
        <v>599.9056501528421</v>
      </c>
      <c r="W456" s="3">
        <f>AVERAGE(W436:W455)</f>
        <v>34.297839249999996</v>
      </c>
    </row>
    <row r="457" spans="1:23" x14ac:dyDescent="0.35">
      <c r="A457" s="2" t="s">
        <v>36</v>
      </c>
      <c r="B457" s="2" cm="1">
        <f t="array" ref="B457">[1]!SignTest(B436:B455,F436:F455,2)</f>
        <v>0.82380294799804688</v>
      </c>
      <c r="C457" s="2" cm="1">
        <f t="array" ref="C457">[1]!SignTest(C436:C455,G436:G455,2)</f>
        <v>1.9073486328125E-6</v>
      </c>
    </row>
    <row r="458" spans="1:23" ht="21" x14ac:dyDescent="0.5">
      <c r="A458" s="10" t="s">
        <v>29</v>
      </c>
      <c r="B458" s="10"/>
      <c r="C458" s="10"/>
      <c r="E458" s="10" t="s">
        <v>29</v>
      </c>
      <c r="F458" s="10"/>
      <c r="G458" s="10"/>
      <c r="H458" s="1"/>
      <c r="I458" s="10" t="s">
        <v>29</v>
      </c>
      <c r="J458" s="10"/>
      <c r="K458" s="10"/>
      <c r="L458" s="1"/>
      <c r="M458" s="10" t="s">
        <v>29</v>
      </c>
      <c r="N458" s="10"/>
      <c r="O458" s="10"/>
      <c r="P458" s="1"/>
      <c r="Q458" s="10" t="s">
        <v>29</v>
      </c>
      <c r="R458" s="10"/>
      <c r="S458" s="10"/>
      <c r="T458" s="1"/>
      <c r="U458" s="10" t="s">
        <v>29</v>
      </c>
      <c r="V458" s="10"/>
      <c r="W458" s="10"/>
    </row>
    <row r="459" spans="1:23" x14ac:dyDescent="0.35">
      <c r="A459" s="2" t="s">
        <v>15</v>
      </c>
      <c r="B459" s="2" t="s">
        <v>16</v>
      </c>
      <c r="C459" s="2" t="s">
        <v>17</v>
      </c>
      <c r="E459" s="2" t="s">
        <v>15</v>
      </c>
      <c r="F459" s="2" t="s">
        <v>16</v>
      </c>
      <c r="G459" s="2" t="s">
        <v>17</v>
      </c>
      <c r="I459" s="2" t="s">
        <v>15</v>
      </c>
      <c r="J459" s="2" t="s">
        <v>16</v>
      </c>
      <c r="K459" s="2" t="s">
        <v>17</v>
      </c>
      <c r="M459" s="2" t="s">
        <v>15</v>
      </c>
      <c r="N459" s="2" t="s">
        <v>16</v>
      </c>
      <c r="O459" s="2" t="s">
        <v>17</v>
      </c>
      <c r="Q459" s="2" t="s">
        <v>15</v>
      </c>
      <c r="R459" s="2" t="s">
        <v>16</v>
      </c>
      <c r="S459" s="2" t="s">
        <v>17</v>
      </c>
      <c r="U459" s="2" t="s">
        <v>15</v>
      </c>
      <c r="V459" s="2" t="s">
        <v>16</v>
      </c>
      <c r="W459" s="2" t="s">
        <v>17</v>
      </c>
    </row>
    <row r="460" spans="1:23" x14ac:dyDescent="0.35">
      <c r="A460" s="2">
        <v>1</v>
      </c>
      <c r="B460" s="2">
        <v>1263.4133912513439</v>
      </c>
      <c r="C460" s="2">
        <v>741.573532</v>
      </c>
      <c r="E460" s="2">
        <v>1</v>
      </c>
      <c r="F460" s="2">
        <v>1275.1491826967051</v>
      </c>
      <c r="G460" s="2">
        <v>770.64272600000004</v>
      </c>
      <c r="I460" s="2">
        <v>1</v>
      </c>
      <c r="J460" s="2">
        <v>1450.7762335977909</v>
      </c>
      <c r="K460" s="2">
        <v>37.594751000000002</v>
      </c>
      <c r="M460" s="2">
        <v>1</v>
      </c>
      <c r="N460" s="2">
        <v>1271.3030869606687</v>
      </c>
      <c r="O460" s="2">
        <v>1131.376661</v>
      </c>
      <c r="Q460" s="2">
        <v>1</v>
      </c>
      <c r="R460" s="2">
        <v>1417.1893476912317</v>
      </c>
      <c r="S460" s="2">
        <v>37.424053999999998</v>
      </c>
      <c r="U460" s="2">
        <v>1</v>
      </c>
      <c r="V460" s="2">
        <v>1550.2984039604726</v>
      </c>
      <c r="W460" s="2">
        <v>35.182827000000003</v>
      </c>
    </row>
    <row r="461" spans="1:23" x14ac:dyDescent="0.35">
      <c r="A461" s="2">
        <v>2</v>
      </c>
      <c r="B461" s="2">
        <v>1233.8790627426119</v>
      </c>
      <c r="C461" s="2">
        <v>744.19802500000003</v>
      </c>
      <c r="E461" s="2">
        <v>2</v>
      </c>
      <c r="F461" s="2">
        <v>1274.1107970685073</v>
      </c>
      <c r="G461" s="2">
        <v>769.10168399999998</v>
      </c>
      <c r="I461" s="2">
        <v>2</v>
      </c>
      <c r="J461" s="2">
        <v>1317.2389927849545</v>
      </c>
      <c r="K461" s="2">
        <v>37.273501000000003</v>
      </c>
      <c r="M461" s="2">
        <v>2</v>
      </c>
      <c r="N461" s="2">
        <v>1305.959576028514</v>
      </c>
      <c r="O461" s="2">
        <v>1108.264508</v>
      </c>
      <c r="Q461" s="2">
        <v>2</v>
      </c>
      <c r="R461" s="2">
        <v>1367.7646596177099</v>
      </c>
      <c r="S461" s="2">
        <v>35.324185</v>
      </c>
      <c r="U461" s="2">
        <v>2</v>
      </c>
      <c r="V461" s="2">
        <v>1441.3833093420287</v>
      </c>
      <c r="W461" s="2">
        <v>36.915619</v>
      </c>
    </row>
    <row r="462" spans="1:23" x14ac:dyDescent="0.35">
      <c r="A462" s="2">
        <v>3</v>
      </c>
      <c r="B462" s="2">
        <v>1239.008587249735</v>
      </c>
      <c r="C462" s="2">
        <v>740.30856900000003</v>
      </c>
      <c r="E462" s="2">
        <v>3</v>
      </c>
      <c r="F462" s="2">
        <v>1244.8176287369031</v>
      </c>
      <c r="G462" s="2">
        <v>760.14146500000004</v>
      </c>
      <c r="I462" s="2">
        <v>3</v>
      </c>
      <c r="J462" s="2">
        <v>1435.6493103111693</v>
      </c>
      <c r="K462" s="2">
        <v>34.215195000000001</v>
      </c>
      <c r="M462" s="2">
        <v>3</v>
      </c>
      <c r="N462" s="2">
        <v>1285.6490305192676</v>
      </c>
      <c r="O462" s="2">
        <v>1123.474917</v>
      </c>
      <c r="Q462" s="2">
        <v>3</v>
      </c>
      <c r="R462" s="2">
        <v>1454.5198174277862</v>
      </c>
      <c r="S462" s="2">
        <v>35.752281000000004</v>
      </c>
      <c r="U462" s="2">
        <v>3</v>
      </c>
      <c r="V462" s="2">
        <v>1496.8905615552139</v>
      </c>
      <c r="W462" s="2">
        <v>35.743805999999999</v>
      </c>
    </row>
    <row r="463" spans="1:23" x14ac:dyDescent="0.35">
      <c r="A463" s="2">
        <v>4</v>
      </c>
      <c r="B463" s="2">
        <v>1263.6991578476686</v>
      </c>
      <c r="C463" s="2">
        <v>729.45233900000005</v>
      </c>
      <c r="E463" s="2">
        <v>4</v>
      </c>
      <c r="F463" s="2">
        <v>1232.8972362786576</v>
      </c>
      <c r="G463" s="2">
        <v>771.26198599999998</v>
      </c>
      <c r="I463" s="2">
        <v>4</v>
      </c>
      <c r="J463" s="2">
        <v>1430.2756579931747</v>
      </c>
      <c r="K463" s="2">
        <v>37.473730000000003</v>
      </c>
      <c r="M463" s="2">
        <v>4</v>
      </c>
      <c r="N463" s="2">
        <v>1317.9909411237957</v>
      </c>
      <c r="O463" s="2">
        <v>1120.191188</v>
      </c>
      <c r="Q463" s="2">
        <v>4</v>
      </c>
      <c r="R463" s="2">
        <v>1398.8127851931115</v>
      </c>
      <c r="S463" s="2">
        <v>36.462694999999997</v>
      </c>
      <c r="U463" s="2">
        <v>4</v>
      </c>
      <c r="V463" s="2">
        <v>1456.8362999300291</v>
      </c>
      <c r="W463" s="2">
        <v>37.101529999999997</v>
      </c>
    </row>
    <row r="464" spans="1:23" x14ac:dyDescent="0.35">
      <c r="A464" s="2">
        <v>5</v>
      </c>
      <c r="B464" s="2">
        <v>1263.3891030581219</v>
      </c>
      <c r="C464" s="2">
        <v>744.52199399999995</v>
      </c>
      <c r="E464" s="2">
        <v>5</v>
      </c>
      <c r="F464" s="2">
        <v>1254.0234864139034</v>
      </c>
      <c r="G464" s="2">
        <v>760.53571999999997</v>
      </c>
      <c r="I464" s="2">
        <v>5</v>
      </c>
      <c r="J464" s="2">
        <v>1445.5666002931837</v>
      </c>
      <c r="K464" s="2">
        <v>37.669839000000003</v>
      </c>
      <c r="M464" s="2">
        <v>5</v>
      </c>
      <c r="N464" s="2">
        <v>1286.6118533198185</v>
      </c>
      <c r="O464" s="2">
        <v>1124.7962640000001</v>
      </c>
      <c r="Q464" s="2">
        <v>5</v>
      </c>
      <c r="R464" s="2">
        <v>1409.167998084519</v>
      </c>
      <c r="S464" s="2">
        <v>36.934168999999997</v>
      </c>
      <c r="U464" s="2">
        <v>5</v>
      </c>
      <c r="V464" s="2">
        <v>1384.8856022082807</v>
      </c>
      <c r="W464" s="2">
        <v>36.141905999999999</v>
      </c>
    </row>
    <row r="465" spans="1:23" x14ac:dyDescent="0.35">
      <c r="A465" s="2">
        <v>6</v>
      </c>
      <c r="B465" s="2">
        <v>1251.538741515672</v>
      </c>
      <c r="C465" s="2">
        <v>741.45683799999995</v>
      </c>
      <c r="E465" s="2">
        <v>6</v>
      </c>
      <c r="F465" s="2">
        <v>1221.3376146579965</v>
      </c>
      <c r="G465" s="2">
        <v>777.87424499999997</v>
      </c>
      <c r="I465" s="2">
        <v>6</v>
      </c>
      <c r="J465" s="2">
        <v>1390.6822908768927</v>
      </c>
      <c r="K465" s="2">
        <v>37.719562000000003</v>
      </c>
      <c r="M465" s="2">
        <v>6</v>
      </c>
      <c r="N465" s="2">
        <v>1256.8006499106002</v>
      </c>
      <c r="O465" s="2">
        <v>1139.441309</v>
      </c>
      <c r="Q465" s="2">
        <v>6</v>
      </c>
      <c r="R465" s="2">
        <v>1388.127807416279</v>
      </c>
      <c r="S465" s="2">
        <v>37.327218000000002</v>
      </c>
      <c r="U465" s="2">
        <v>6</v>
      </c>
      <c r="V465" s="2">
        <v>1405.6079210636922</v>
      </c>
      <c r="W465" s="2">
        <v>36.672578000000001</v>
      </c>
    </row>
    <row r="466" spans="1:23" x14ac:dyDescent="0.35">
      <c r="A466" s="2">
        <v>7</v>
      </c>
      <c r="B466" s="2">
        <v>1250.8820353699186</v>
      </c>
      <c r="C466" s="2">
        <v>741.35469899999998</v>
      </c>
      <c r="E466" s="2">
        <v>7</v>
      </c>
      <c r="F466" s="2">
        <v>1265.6882284397848</v>
      </c>
      <c r="G466" s="2">
        <v>772.20540000000005</v>
      </c>
      <c r="I466" s="2">
        <v>7</v>
      </c>
      <c r="J466" s="2">
        <v>1483.8651993512492</v>
      </c>
      <c r="K466" s="2">
        <v>38.215646</v>
      </c>
      <c r="M466" s="2">
        <v>7</v>
      </c>
      <c r="N466" s="2">
        <v>1261.7591958510163</v>
      </c>
      <c r="O466" s="2">
        <v>1130.442939</v>
      </c>
      <c r="Q466" s="2">
        <v>7</v>
      </c>
      <c r="R466" s="2">
        <v>1412.8286407789478</v>
      </c>
      <c r="S466" s="2">
        <v>36.144252000000002</v>
      </c>
      <c r="U466" s="2">
        <v>7</v>
      </c>
      <c r="V466" s="2">
        <v>1456.9343628891309</v>
      </c>
      <c r="W466" s="2">
        <v>35.937773</v>
      </c>
    </row>
    <row r="467" spans="1:23" x14ac:dyDescent="0.35">
      <c r="A467" s="2">
        <v>8</v>
      </c>
      <c r="B467" s="2">
        <v>1246.538338361016</v>
      </c>
      <c r="C467" s="2">
        <v>740.686958</v>
      </c>
      <c r="E467" s="2">
        <v>8</v>
      </c>
      <c r="F467" s="2">
        <v>1223.908202704004</v>
      </c>
      <c r="G467" s="2">
        <v>770.766164</v>
      </c>
      <c r="I467" s="2">
        <v>8</v>
      </c>
      <c r="J467" s="2">
        <v>1448.5889027616138</v>
      </c>
      <c r="K467" s="2">
        <v>37.209792999999998</v>
      </c>
      <c r="M467" s="2">
        <v>8</v>
      </c>
      <c r="N467" s="2">
        <v>1284.2936693467448</v>
      </c>
      <c r="O467" s="2">
        <v>1121.543572</v>
      </c>
      <c r="Q467" s="2">
        <v>8</v>
      </c>
      <c r="R467" s="2">
        <v>1386.3322747083819</v>
      </c>
      <c r="S467" s="2">
        <v>37.216313</v>
      </c>
      <c r="U467" s="2">
        <v>8</v>
      </c>
      <c r="V467" s="2">
        <v>1450.6075349429464</v>
      </c>
      <c r="W467" s="2">
        <v>36.735695</v>
      </c>
    </row>
    <row r="468" spans="1:23" x14ac:dyDescent="0.35">
      <c r="A468" s="2">
        <v>9</v>
      </c>
      <c r="B468" s="2">
        <v>1245.5422928283549</v>
      </c>
      <c r="C468" s="2">
        <v>743.560743</v>
      </c>
      <c r="E468" s="2">
        <v>9</v>
      </c>
      <c r="F468" s="2">
        <v>1268.5490408556702</v>
      </c>
      <c r="G468" s="2">
        <v>768.46786299999997</v>
      </c>
      <c r="I468" s="2">
        <v>9</v>
      </c>
      <c r="J468" s="2">
        <v>1449.1817198707911</v>
      </c>
      <c r="K468" s="2">
        <v>37.742840999999999</v>
      </c>
      <c r="M468" s="2">
        <v>9</v>
      </c>
      <c r="N468" s="2">
        <v>1265.8996734474433</v>
      </c>
      <c r="O468" s="2">
        <v>1130.3752030000001</v>
      </c>
      <c r="Q468" s="2">
        <v>9</v>
      </c>
      <c r="R468" s="2">
        <v>1464.6666220782654</v>
      </c>
      <c r="S468" s="2">
        <v>37.222450000000002</v>
      </c>
      <c r="U468" s="2">
        <v>9</v>
      </c>
      <c r="V468" s="2">
        <v>1404.2786605400272</v>
      </c>
      <c r="W468" s="2">
        <v>37.114573</v>
      </c>
    </row>
    <row r="469" spans="1:23" x14ac:dyDescent="0.35">
      <c r="A469" s="2">
        <v>10</v>
      </c>
      <c r="B469" s="2">
        <v>1229.8725370329523</v>
      </c>
      <c r="C469" s="2">
        <v>737.65338699999995</v>
      </c>
      <c r="E469" s="2">
        <v>10</v>
      </c>
      <c r="F469" s="2">
        <v>1241.8058123208452</v>
      </c>
      <c r="G469" s="2">
        <v>772.43132600000001</v>
      </c>
      <c r="I469" s="2">
        <v>10</v>
      </c>
      <c r="J469" s="2">
        <v>1401.835559138872</v>
      </c>
      <c r="K469" s="2">
        <v>36.80782</v>
      </c>
      <c r="M469" s="2">
        <v>10</v>
      </c>
      <c r="N469" s="2">
        <v>1251.353395007146</v>
      </c>
      <c r="O469" s="2">
        <v>1119.452732</v>
      </c>
      <c r="Q469" s="2">
        <v>10</v>
      </c>
      <c r="R469" s="2">
        <v>1494.3635616593774</v>
      </c>
      <c r="S469" s="2">
        <v>36.760432999999999</v>
      </c>
      <c r="U469" s="2">
        <v>10</v>
      </c>
      <c r="V469" s="2">
        <v>1520.3954952722227</v>
      </c>
      <c r="W469" s="2">
        <v>36.736927000000001</v>
      </c>
    </row>
    <row r="470" spans="1:23" x14ac:dyDescent="0.35">
      <c r="A470" s="2">
        <v>11</v>
      </c>
      <c r="B470" s="2">
        <v>1243.0659274696809</v>
      </c>
      <c r="C470" s="2">
        <v>740.70312000000001</v>
      </c>
      <c r="E470" s="2">
        <v>11</v>
      </c>
      <c r="F470" s="2">
        <v>1228.0021726704097</v>
      </c>
      <c r="G470" s="2">
        <v>751.92809799999998</v>
      </c>
      <c r="I470" s="2">
        <v>11</v>
      </c>
      <c r="J470" s="2">
        <v>1323.5127024331516</v>
      </c>
      <c r="K470" s="2">
        <v>37.439584000000004</v>
      </c>
      <c r="M470" s="2">
        <v>11</v>
      </c>
      <c r="N470" s="2">
        <v>1277.04069884919</v>
      </c>
      <c r="O470" s="2">
        <v>1131.027282</v>
      </c>
      <c r="Q470" s="2">
        <v>11</v>
      </c>
      <c r="R470" s="2">
        <v>1357.8121669127265</v>
      </c>
      <c r="S470" s="2">
        <v>36.489947999999998</v>
      </c>
      <c r="U470" s="2">
        <v>11</v>
      </c>
      <c r="V470" s="2">
        <v>1476.0637081691439</v>
      </c>
      <c r="W470" s="2">
        <v>37.084955000000001</v>
      </c>
    </row>
    <row r="471" spans="1:23" x14ac:dyDescent="0.35">
      <c r="A471" s="2">
        <v>12</v>
      </c>
      <c r="B471" s="2">
        <v>1241.2687005633923</v>
      </c>
      <c r="C471" s="2">
        <v>740.76664000000005</v>
      </c>
      <c r="E471" s="2">
        <v>12</v>
      </c>
      <c r="F471" s="2">
        <v>1225.3486059285424</v>
      </c>
      <c r="G471" s="2">
        <v>761.90452300000004</v>
      </c>
      <c r="I471" s="2">
        <v>12</v>
      </c>
      <c r="J471" s="2">
        <v>1375.297229281208</v>
      </c>
      <c r="K471" s="2">
        <v>36.211298999999997</v>
      </c>
      <c r="M471" s="2">
        <v>12</v>
      </c>
      <c r="N471" s="2">
        <v>1272.0415210773533</v>
      </c>
      <c r="O471" s="2">
        <v>1130.534885</v>
      </c>
      <c r="Q471" s="2">
        <v>12</v>
      </c>
      <c r="R471" s="2">
        <v>1369.534661107358</v>
      </c>
      <c r="S471" s="2">
        <v>35.240141000000001</v>
      </c>
      <c r="U471" s="2">
        <v>12</v>
      </c>
      <c r="V471" s="2">
        <v>1484.988590505305</v>
      </c>
      <c r="W471" s="2">
        <v>37.176842999999998</v>
      </c>
    </row>
    <row r="472" spans="1:23" x14ac:dyDescent="0.35">
      <c r="A472" s="2">
        <v>13</v>
      </c>
      <c r="B472" s="2">
        <v>1250.8659977432267</v>
      </c>
      <c r="C472" s="2">
        <v>739.960825</v>
      </c>
      <c r="E472" s="2">
        <v>13</v>
      </c>
      <c r="F472" s="2">
        <v>1292.027583454741</v>
      </c>
      <c r="G472" s="2">
        <v>774.13518299999998</v>
      </c>
      <c r="I472" s="2">
        <v>13</v>
      </c>
      <c r="J472" s="2">
        <v>1382.1139760053873</v>
      </c>
      <c r="K472" s="2">
        <v>38.238919000000003</v>
      </c>
      <c r="M472" s="2">
        <v>13</v>
      </c>
      <c r="N472" s="2">
        <v>1261.0432747082295</v>
      </c>
      <c r="O472" s="2">
        <v>1115.3459049999999</v>
      </c>
      <c r="Q472" s="2">
        <v>13</v>
      </c>
      <c r="R472" s="2">
        <v>1445.0265411339108</v>
      </c>
      <c r="S472" s="2">
        <v>36.553716000000001</v>
      </c>
      <c r="U472" s="2">
        <v>13</v>
      </c>
      <c r="V472" s="2">
        <v>1394.9991706875198</v>
      </c>
      <c r="W472" s="2">
        <v>35.389854</v>
      </c>
    </row>
    <row r="473" spans="1:23" x14ac:dyDescent="0.35">
      <c r="A473" s="2">
        <v>14</v>
      </c>
      <c r="B473" s="2">
        <v>1262.4193108644915</v>
      </c>
      <c r="C473" s="2">
        <v>744.927774</v>
      </c>
      <c r="E473" s="2">
        <v>14</v>
      </c>
      <c r="F473" s="2">
        <v>1283.4150070113242</v>
      </c>
      <c r="G473" s="2">
        <v>768.70734700000003</v>
      </c>
      <c r="I473" s="2">
        <v>14</v>
      </c>
      <c r="J473" s="2">
        <v>1340.375053518881</v>
      </c>
      <c r="K473" s="2">
        <v>36.877088000000001</v>
      </c>
      <c r="M473" s="2">
        <v>14</v>
      </c>
      <c r="N473" s="2">
        <v>1269.1006481191027</v>
      </c>
      <c r="O473" s="2">
        <v>1129.2243229999999</v>
      </c>
      <c r="Q473" s="2">
        <v>14</v>
      </c>
      <c r="R473" s="2">
        <v>1412.376372384786</v>
      </c>
      <c r="S473" s="2">
        <v>36.293689000000001</v>
      </c>
      <c r="U473" s="2">
        <v>14</v>
      </c>
      <c r="V473" s="2">
        <v>1431.7415403058235</v>
      </c>
      <c r="W473" s="2">
        <v>36.440455999999998</v>
      </c>
    </row>
    <row r="474" spans="1:23" x14ac:dyDescent="0.35">
      <c r="A474" s="2">
        <v>15</v>
      </c>
      <c r="B474" s="2">
        <v>1229.7798004954848</v>
      </c>
      <c r="C474" s="2">
        <v>737.98555999999996</v>
      </c>
      <c r="E474" s="2">
        <v>15</v>
      </c>
      <c r="F474" s="2">
        <v>1219.2437686776962</v>
      </c>
      <c r="G474" s="2">
        <v>769.20012499999996</v>
      </c>
      <c r="I474" s="2">
        <v>15</v>
      </c>
      <c r="J474" s="2">
        <v>1352.3387729732876</v>
      </c>
      <c r="K474" s="2">
        <v>37.008912000000002</v>
      </c>
      <c r="M474" s="2">
        <v>15</v>
      </c>
      <c r="N474" s="2">
        <v>1251.353395007146</v>
      </c>
      <c r="O474" s="2">
        <v>1126.8944309999999</v>
      </c>
      <c r="Q474" s="2">
        <v>15</v>
      </c>
      <c r="R474" s="2">
        <v>1408.5942550073587</v>
      </c>
      <c r="S474" s="2">
        <v>36.546236999999998</v>
      </c>
      <c r="U474" s="2">
        <v>15</v>
      </c>
      <c r="V474" s="2">
        <v>1488.7355022247864</v>
      </c>
      <c r="W474" s="2">
        <v>36.621422000000003</v>
      </c>
    </row>
    <row r="475" spans="1:23" x14ac:dyDescent="0.35">
      <c r="A475" s="2">
        <v>16</v>
      </c>
      <c r="B475" s="2">
        <v>1294.1267587138827</v>
      </c>
      <c r="C475" s="2">
        <v>746.37058200000001</v>
      </c>
      <c r="E475" s="2">
        <v>16</v>
      </c>
      <c r="F475" s="2">
        <v>1260.1329243760292</v>
      </c>
      <c r="G475" s="2">
        <v>762.64387399999998</v>
      </c>
      <c r="I475" s="2">
        <v>16</v>
      </c>
      <c r="J475" s="2">
        <v>1378.2641444045962</v>
      </c>
      <c r="K475" s="2">
        <v>36.119791999999997</v>
      </c>
      <c r="M475" s="2">
        <v>16</v>
      </c>
      <c r="N475" s="2">
        <v>1361.6926799206285</v>
      </c>
      <c r="O475" s="2">
        <v>1128.379565</v>
      </c>
      <c r="Q475" s="2">
        <v>16</v>
      </c>
      <c r="R475" s="2">
        <v>1394.1709999558241</v>
      </c>
      <c r="S475" s="2">
        <v>35.132987999999997</v>
      </c>
      <c r="U475" s="2">
        <v>16</v>
      </c>
      <c r="V475" s="2">
        <v>1488.9918164900218</v>
      </c>
      <c r="W475" s="2">
        <v>37.201669000000003</v>
      </c>
    </row>
    <row r="476" spans="1:23" x14ac:dyDescent="0.35">
      <c r="A476" s="2">
        <v>17</v>
      </c>
      <c r="B476" s="2">
        <v>1262.8555606399959</v>
      </c>
      <c r="C476" s="2">
        <v>734.98690699999997</v>
      </c>
      <c r="E476" s="2">
        <v>17</v>
      </c>
      <c r="F476" s="2">
        <v>1263.719933371224</v>
      </c>
      <c r="G476" s="2">
        <v>766.89499799999999</v>
      </c>
      <c r="I476" s="2">
        <v>17</v>
      </c>
      <c r="J476" s="2">
        <v>1406.6646586256311</v>
      </c>
      <c r="K476" s="2">
        <v>37.252135000000003</v>
      </c>
      <c r="M476" s="2">
        <v>17</v>
      </c>
      <c r="N476" s="2">
        <v>1337.2108512785644</v>
      </c>
      <c r="O476" s="2">
        <v>1129.40949</v>
      </c>
      <c r="Q476" s="2">
        <v>17</v>
      </c>
      <c r="R476" s="2">
        <v>1367.6033863536154</v>
      </c>
      <c r="S476" s="2">
        <v>36.541592000000001</v>
      </c>
      <c r="U476" s="2">
        <v>17</v>
      </c>
      <c r="V476" s="2">
        <v>1384.6801307621133</v>
      </c>
      <c r="W476" s="2">
        <v>36.380549999999999</v>
      </c>
    </row>
    <row r="477" spans="1:23" x14ac:dyDescent="0.35">
      <c r="A477" s="2">
        <v>18</v>
      </c>
      <c r="B477" s="2">
        <v>1236.4991761869971</v>
      </c>
      <c r="C477" s="2">
        <v>745.15609300000006</v>
      </c>
      <c r="E477" s="2">
        <v>18</v>
      </c>
      <c r="F477" s="2">
        <v>1258.9204025827914</v>
      </c>
      <c r="G477" s="2">
        <v>759.53595600000006</v>
      </c>
      <c r="I477" s="2">
        <v>18</v>
      </c>
      <c r="J477" s="2">
        <v>1470.4245426237349</v>
      </c>
      <c r="K477" s="2">
        <v>37.182485999999997</v>
      </c>
      <c r="M477" s="2">
        <v>18</v>
      </c>
      <c r="N477" s="2">
        <v>1251.353395007146</v>
      </c>
      <c r="O477" s="2">
        <v>1117.517067</v>
      </c>
      <c r="Q477" s="2">
        <v>18</v>
      </c>
      <c r="R477" s="2">
        <v>1457.4781149998978</v>
      </c>
      <c r="S477" s="2">
        <v>36.936146000000001</v>
      </c>
      <c r="U477" s="2">
        <v>18</v>
      </c>
      <c r="V477" s="2">
        <v>1454.7651114456171</v>
      </c>
      <c r="W477" s="2">
        <v>35.696176999999999</v>
      </c>
    </row>
    <row r="478" spans="1:23" x14ac:dyDescent="0.35">
      <c r="A478" s="2">
        <v>19</v>
      </c>
      <c r="B478" s="2">
        <v>1239.9357824474525</v>
      </c>
      <c r="C478" s="2">
        <v>727.77450899999997</v>
      </c>
      <c r="E478" s="2">
        <v>19</v>
      </c>
      <c r="F478" s="2">
        <v>1237.7765117566851</v>
      </c>
      <c r="G478" s="2">
        <v>773.84939599999996</v>
      </c>
      <c r="I478" s="2">
        <v>19</v>
      </c>
      <c r="J478" s="2">
        <v>1360.4620330972534</v>
      </c>
      <c r="K478" s="2">
        <v>37.091543000000001</v>
      </c>
      <c r="M478" s="2">
        <v>19</v>
      </c>
      <c r="N478" s="2">
        <v>1339.8750289773673</v>
      </c>
      <c r="O478" s="2">
        <v>1124.2676650000001</v>
      </c>
      <c r="Q478" s="2">
        <v>19</v>
      </c>
      <c r="R478" s="2">
        <v>1380.3940481391821</v>
      </c>
      <c r="S478" s="2">
        <v>35.987122999999997</v>
      </c>
      <c r="U478" s="2">
        <v>19</v>
      </c>
      <c r="V478" s="2">
        <v>1414.9260979739115</v>
      </c>
      <c r="W478" s="2">
        <v>37.009566</v>
      </c>
    </row>
    <row r="479" spans="1:23" x14ac:dyDescent="0.35">
      <c r="A479" s="2">
        <v>20</v>
      </c>
      <c r="B479" s="2">
        <v>1243.6097866065422</v>
      </c>
      <c r="C479" s="2">
        <v>737.95403699999997</v>
      </c>
      <c r="E479" s="2">
        <v>20</v>
      </c>
      <c r="F479" s="2">
        <v>1246.0172656064424</v>
      </c>
      <c r="G479" s="2">
        <v>764.78976399999999</v>
      </c>
      <c r="I479" s="2">
        <v>20</v>
      </c>
      <c r="J479" s="2">
        <v>1411.6466964985946</v>
      </c>
      <c r="K479" s="2">
        <v>36.889425000000003</v>
      </c>
      <c r="M479" s="2">
        <v>20</v>
      </c>
      <c r="N479" s="2">
        <v>1274.345712670709</v>
      </c>
      <c r="O479" s="2">
        <v>1126.1834980000001</v>
      </c>
      <c r="Q479" s="2">
        <v>20</v>
      </c>
      <c r="R479" s="2">
        <v>1365.7075629057688</v>
      </c>
      <c r="S479" s="2">
        <v>36.470438999999999</v>
      </c>
      <c r="U479" s="2">
        <v>20</v>
      </c>
      <c r="V479" s="2">
        <v>1479.2636782208474</v>
      </c>
      <c r="W479" s="2">
        <v>36.950133999999998</v>
      </c>
    </row>
    <row r="480" spans="1:23" x14ac:dyDescent="0.35">
      <c r="A480" s="2" t="s">
        <v>19</v>
      </c>
      <c r="B480" s="3">
        <f>AVERAGE(B460:B479)</f>
        <v>1249.6095024494273</v>
      </c>
      <c r="C480" s="3">
        <f>AVERAGE(C460:C479)</f>
        <v>740.06765655000004</v>
      </c>
      <c r="F480" s="3">
        <f>AVERAGE(F460:F479)</f>
        <v>1250.8445702804433</v>
      </c>
      <c r="G480" s="3">
        <f>AVERAGE(G460:G479)</f>
        <v>767.35089214999982</v>
      </c>
      <c r="H480" s="3"/>
      <c r="J480" s="3">
        <f>AVERAGE(J460:J479)</f>
        <v>1402.738013822071</v>
      </c>
      <c r="K480" s="3">
        <f>AVERAGE(K460:K479)</f>
        <v>37.11169305</v>
      </c>
      <c r="L480" s="3"/>
      <c r="N480" s="3">
        <f>AVERAGE(N460:N479)</f>
        <v>1284.1339138565229</v>
      </c>
      <c r="O480" s="3">
        <f>AVERAGE(O460:O479)</f>
        <v>1125.4071702000001</v>
      </c>
      <c r="P480" s="3"/>
      <c r="R480" s="3">
        <f>AVERAGE(R460:R479)</f>
        <v>1407.623581177802</v>
      </c>
      <c r="S480" s="3">
        <f>AVERAGE(S460:S479)</f>
        <v>36.438003449999997</v>
      </c>
      <c r="T480" s="3"/>
      <c r="V480" s="3">
        <f>AVERAGE(V460:V479)</f>
        <v>1453.3636749244565</v>
      </c>
      <c r="W480" s="3">
        <f>AVERAGE(W460:W479)</f>
        <v>36.511743000000003</v>
      </c>
    </row>
    <row r="481" spans="1:3" x14ac:dyDescent="0.35">
      <c r="A481" s="2" t="s">
        <v>36</v>
      </c>
      <c r="B481" s="2" cm="1">
        <f t="array" ref="B481">[1]!SignTest(B460:B479,F460:F479,2)</f>
        <v>0.82380294799804699</v>
      </c>
      <c r="C481" s="2" cm="1">
        <f t="array" ref="C481">[1]!SignTest(C460:C479,G460:G479,2)</f>
        <v>1.9073486328125E-6</v>
      </c>
    </row>
  </sheetData>
  <mergeCells count="132">
    <mergeCell ref="U458:W458"/>
    <mergeCell ref="A458:C458"/>
    <mergeCell ref="E458:G458"/>
    <mergeCell ref="I458:K458"/>
    <mergeCell ref="M458:O458"/>
    <mergeCell ref="Q458:S458"/>
    <mergeCell ref="U410:W410"/>
    <mergeCell ref="A434:C434"/>
    <mergeCell ref="E434:G434"/>
    <mergeCell ref="I434:K434"/>
    <mergeCell ref="M434:O434"/>
    <mergeCell ref="Q434:S434"/>
    <mergeCell ref="U434:W434"/>
    <mergeCell ref="A410:C410"/>
    <mergeCell ref="E410:G410"/>
    <mergeCell ref="I410:K410"/>
    <mergeCell ref="M410:O410"/>
    <mergeCell ref="Q410:S410"/>
    <mergeCell ref="U362:W362"/>
    <mergeCell ref="A386:C386"/>
    <mergeCell ref="E386:G386"/>
    <mergeCell ref="I386:K386"/>
    <mergeCell ref="M386:O386"/>
    <mergeCell ref="Q386:S386"/>
    <mergeCell ref="U386:W386"/>
    <mergeCell ref="A362:C362"/>
    <mergeCell ref="E362:G362"/>
    <mergeCell ref="I362:K362"/>
    <mergeCell ref="M362:O362"/>
    <mergeCell ref="Q362:S362"/>
    <mergeCell ref="U314:W314"/>
    <mergeCell ref="A338:C338"/>
    <mergeCell ref="E338:G338"/>
    <mergeCell ref="I338:K338"/>
    <mergeCell ref="M338:O338"/>
    <mergeCell ref="Q338:S338"/>
    <mergeCell ref="U338:W338"/>
    <mergeCell ref="Q290:S290"/>
    <mergeCell ref="Q314:S314"/>
    <mergeCell ref="E290:G290"/>
    <mergeCell ref="E314:G314"/>
    <mergeCell ref="U1:W1"/>
    <mergeCell ref="U2:W2"/>
    <mergeCell ref="U26:W26"/>
    <mergeCell ref="U50:W50"/>
    <mergeCell ref="U74:W74"/>
    <mergeCell ref="U98:W98"/>
    <mergeCell ref="U122:W122"/>
    <mergeCell ref="U146:W146"/>
    <mergeCell ref="U170:W170"/>
    <mergeCell ref="U194:W194"/>
    <mergeCell ref="U218:W218"/>
    <mergeCell ref="U242:W242"/>
    <mergeCell ref="U266:W266"/>
    <mergeCell ref="U290:W290"/>
    <mergeCell ref="M266:O266"/>
    <mergeCell ref="M290:O290"/>
    <mergeCell ref="M314:O314"/>
    <mergeCell ref="Q1:S1"/>
    <mergeCell ref="Q2:S2"/>
    <mergeCell ref="Q26:S26"/>
    <mergeCell ref="Q50:S50"/>
    <mergeCell ref="Q74:S74"/>
    <mergeCell ref="Q98:S98"/>
    <mergeCell ref="Q122:S122"/>
    <mergeCell ref="Q146:S146"/>
    <mergeCell ref="Q170:S170"/>
    <mergeCell ref="Q194:S194"/>
    <mergeCell ref="Q218:S218"/>
    <mergeCell ref="Q242:S242"/>
    <mergeCell ref="Q266:S266"/>
    <mergeCell ref="M146:O146"/>
    <mergeCell ref="M170:O170"/>
    <mergeCell ref="M194:O194"/>
    <mergeCell ref="M242:O242"/>
    <mergeCell ref="M26:O26"/>
    <mergeCell ref="M50:O50"/>
    <mergeCell ref="M74:O74"/>
    <mergeCell ref="M98:O98"/>
    <mergeCell ref="M122:O122"/>
    <mergeCell ref="I314:K314"/>
    <mergeCell ref="I194:K194"/>
    <mergeCell ref="I218:K218"/>
    <mergeCell ref="I242:K242"/>
    <mergeCell ref="I266:K266"/>
    <mergeCell ref="I290:K290"/>
    <mergeCell ref="A266:C266"/>
    <mergeCell ref="E266:G266"/>
    <mergeCell ref="A218:C218"/>
    <mergeCell ref="A242:C242"/>
    <mergeCell ref="A290:C290"/>
    <mergeCell ref="A314:C314"/>
    <mergeCell ref="E1:G1"/>
    <mergeCell ref="E2:G2"/>
    <mergeCell ref="E26:G26"/>
    <mergeCell ref="E50:G50"/>
    <mergeCell ref="E74:G74"/>
    <mergeCell ref="E98:G98"/>
    <mergeCell ref="A194:C194"/>
    <mergeCell ref="A1:C1"/>
    <mergeCell ref="A2:C2"/>
    <mergeCell ref="A26:C26"/>
    <mergeCell ref="A50:C50"/>
    <mergeCell ref="A74:C74"/>
    <mergeCell ref="A98:C98"/>
    <mergeCell ref="A122:C122"/>
    <mergeCell ref="A146:C146"/>
    <mergeCell ref="A170:C170"/>
    <mergeCell ref="AG1:AI1"/>
    <mergeCell ref="AK1:AM1"/>
    <mergeCell ref="AO1:AQ1"/>
    <mergeCell ref="AS1:AU1"/>
    <mergeCell ref="E170:G170"/>
    <mergeCell ref="E194:G194"/>
    <mergeCell ref="E218:G218"/>
    <mergeCell ref="AC1:AE1"/>
    <mergeCell ref="E242:G242"/>
    <mergeCell ref="Y1:AA1"/>
    <mergeCell ref="I1:K1"/>
    <mergeCell ref="I2:K2"/>
    <mergeCell ref="I26:K26"/>
    <mergeCell ref="I50:K50"/>
    <mergeCell ref="I74:K74"/>
    <mergeCell ref="I98:K98"/>
    <mergeCell ref="I122:K122"/>
    <mergeCell ref="I146:K146"/>
    <mergeCell ref="I170:K170"/>
    <mergeCell ref="M1:O1"/>
    <mergeCell ref="M2:O2"/>
    <mergeCell ref="E122:G122"/>
    <mergeCell ref="E146:G146"/>
    <mergeCell ref="M218:O218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223123831 Yousef Alfezaia</dc:creator>
  <cp:lastModifiedBy>Ameer Mohammed - أمير محمد</cp:lastModifiedBy>
  <dcterms:created xsi:type="dcterms:W3CDTF">2025-11-06T12:10:35Z</dcterms:created>
  <dcterms:modified xsi:type="dcterms:W3CDTF">2026-03-01T17:03:33Z</dcterms:modified>
</cp:coreProperties>
</file>