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365-my.sharepoint.com/personal/ameer_mohammed_ku_edu_kw/Documents/Research Publications/2026 - Hybrid Q-learning for TSP/"/>
    </mc:Choice>
  </mc:AlternateContent>
  <xr:revisionPtr revIDLastSave="18" documentId="13_ncr:1_{13E8F399-AD45-44B4-9E34-7851B7447C6A}" xr6:coauthVersionLast="47" xr6:coauthVersionMax="47" xr10:uidLastSave="{321B7B14-BD0D-4825-A5D8-E3E71B4C0FAC}"/>
  <bookViews>
    <workbookView minimized="1" xWindow="6040" yWindow="1920" windowWidth="17960" windowHeight="11170" xr2:uid="{C24772EB-060B-4159-A74E-9AE7FBDDE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6" i="1"/>
  <c r="H5" i="1"/>
  <c r="H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C480" i="1"/>
  <c r="B480" i="1"/>
  <c r="C456" i="1"/>
  <c r="B456" i="1"/>
  <c r="C432" i="1"/>
  <c r="B432" i="1"/>
  <c r="C408" i="1"/>
  <c r="B408" i="1"/>
  <c r="C384" i="1"/>
  <c r="B384" i="1"/>
  <c r="C360" i="1"/>
  <c r="B360" i="1"/>
  <c r="C336" i="1"/>
  <c r="B336" i="1"/>
  <c r="C312" i="1"/>
  <c r="B312" i="1"/>
  <c r="C288" i="1"/>
  <c r="B288" i="1"/>
  <c r="C264" i="1"/>
  <c r="B264" i="1"/>
  <c r="C240" i="1"/>
  <c r="B240" i="1"/>
  <c r="C216" i="1"/>
  <c r="B216" i="1"/>
  <c r="C192" i="1"/>
  <c r="B192" i="1"/>
  <c r="C168" i="1"/>
  <c r="B168" i="1"/>
  <c r="C144" i="1"/>
  <c r="B144" i="1"/>
  <c r="C120" i="1"/>
  <c r="B120" i="1"/>
  <c r="C96" i="1"/>
  <c r="B96" i="1"/>
  <c r="C72" i="1"/>
  <c r="B72" i="1"/>
  <c r="C48" i="1"/>
  <c r="B48" i="1"/>
  <c r="C24" i="1"/>
  <c r="B24" i="1"/>
</calcChain>
</file>

<file path=xl/sharedStrings.xml><?xml version="1.0" encoding="utf-8"?>
<sst xmlns="http://schemas.openxmlformats.org/spreadsheetml/2006/main" count="124" uniqueCount="26">
  <si>
    <t>Eil51</t>
  </si>
  <si>
    <t>trial</t>
  </si>
  <si>
    <t>cost_path_length</t>
  </si>
  <si>
    <t>time_seconds</t>
  </si>
  <si>
    <t>Avg</t>
  </si>
  <si>
    <t>Eil76</t>
  </si>
  <si>
    <t>Pr76</t>
  </si>
  <si>
    <t>Rd100</t>
  </si>
  <si>
    <t>Eil101</t>
  </si>
  <si>
    <t>Lin105</t>
  </si>
  <si>
    <t>Pr107</t>
  </si>
  <si>
    <t>Pr124</t>
  </si>
  <si>
    <t>Bier127</t>
  </si>
  <si>
    <t>Ch130</t>
  </si>
  <si>
    <t>Pr144</t>
  </si>
  <si>
    <t>Ch150</t>
  </si>
  <si>
    <t>Pr152</t>
  </si>
  <si>
    <t>Pr226</t>
  </si>
  <si>
    <t>gr137</t>
  </si>
  <si>
    <t>st70</t>
  </si>
  <si>
    <t>u159</t>
  </si>
  <si>
    <t>att48</t>
  </si>
  <si>
    <t>gr96</t>
  </si>
  <si>
    <t>rat99</t>
  </si>
  <si>
    <t>AntQ: Path Length &amp; Time, Total Runs = 20</t>
  </si>
  <si>
    <t>AntQ: Path Length &amp; Time, Total Runs = 20 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</si>
</sst>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" xfId="1" applyFont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3DE2-E161-46A6-9E38-769CB56F9566}">
  <dimension ref="A1:H480"/>
  <sheetViews>
    <sheetView tabSelected="1" topLeftCell="B1" workbookViewId="0">
      <selection activeCell="G26" sqref="G26"/>
    </sheetView>
  </sheetViews>
  <sheetFormatPr defaultRowHeight="14.5" x14ac:dyDescent="0.35"/>
  <cols>
    <col min="1" max="3" width="39.7265625" style="1" customWidth="1"/>
    <col min="6" max="6" width="13.453125" customWidth="1"/>
    <col min="7" max="7" width="18.90625" customWidth="1"/>
    <col min="8" max="8" width="37.26953125" customWidth="1"/>
  </cols>
  <sheetData>
    <row r="1" spans="1:8" ht="24.5" thickTop="1" thickBot="1" x14ac:dyDescent="0.6">
      <c r="A1" s="5" t="s">
        <v>24</v>
      </c>
      <c r="B1" s="5"/>
      <c r="C1" s="5"/>
      <c r="F1" s="6" t="s">
        <v>25</v>
      </c>
      <c r="G1" s="6"/>
      <c r="H1" s="6"/>
    </row>
    <row r="2" spans="1:8" ht="21.5" thickTop="1" x14ac:dyDescent="0.5">
      <c r="A2" s="4" t="s">
        <v>0</v>
      </c>
      <c r="B2" s="4"/>
      <c r="C2" s="4"/>
      <c r="F2" s="3"/>
      <c r="G2" s="3"/>
      <c r="H2" s="3"/>
    </row>
    <row r="3" spans="1:8" x14ac:dyDescent="0.35">
      <c r="A3" s="1" t="s">
        <v>1</v>
      </c>
      <c r="B3" s="1" t="s">
        <v>2</v>
      </c>
      <c r="C3" s="1" t="s">
        <v>3</v>
      </c>
      <c r="F3" s="3"/>
      <c r="G3" s="3" t="s">
        <v>2</v>
      </c>
      <c r="H3" s="3" t="s">
        <v>3</v>
      </c>
    </row>
    <row r="4" spans="1:8" x14ac:dyDescent="0.35">
      <c r="A4" s="1">
        <v>1</v>
      </c>
      <c r="B4" s="1">
        <v>434</v>
      </c>
      <c r="C4" s="1">
        <v>18.70844</v>
      </c>
      <c r="F4" s="3" t="s">
        <v>0</v>
      </c>
      <c r="G4" s="3">
        <f ca="1">_xlfn.QUARTILE.INC(OFFSET($B$4,(ROW()-ROW($B$4))*24,0,20),1)</f>
        <v>445.5</v>
      </c>
      <c r="H4" s="3">
        <f ca="1">_xlfn.QUARTILE.INC(OFFSET($C$4,(ROW()-ROW($C$4))*24,0,20),2)</f>
        <v>13.907889999999998</v>
      </c>
    </row>
    <row r="5" spans="1:8" x14ac:dyDescent="0.35">
      <c r="A5" s="1">
        <v>2</v>
      </c>
      <c r="B5" s="1">
        <v>453</v>
      </c>
      <c r="C5" s="1">
        <v>12.492599999999999</v>
      </c>
      <c r="F5" s="3" t="s">
        <v>5</v>
      </c>
      <c r="G5" s="3">
        <f t="shared" ref="G5:G23" ca="1" si="0">_xlfn.QUARTILE.INC(OFFSET($B$4,(ROW()-ROW($B$4))*24,0,20),1)</f>
        <v>586.5</v>
      </c>
      <c r="H5" s="3">
        <f ca="1">_xlfn.QUARTILE.INC(OFFSET($C$4,(ROW()-ROW($C$4))*24,0,20),2)</f>
        <v>40.703762499999996</v>
      </c>
    </row>
    <row r="6" spans="1:8" x14ac:dyDescent="0.35">
      <c r="A6" s="1">
        <v>3</v>
      </c>
      <c r="B6" s="1">
        <v>458</v>
      </c>
      <c r="C6" s="1">
        <v>7.4959980000000002</v>
      </c>
      <c r="F6" s="3" t="s">
        <v>6</v>
      </c>
      <c r="G6" s="3">
        <f t="shared" ca="1" si="0"/>
        <v>119402.75</v>
      </c>
      <c r="H6" s="3">
        <f ca="1">_xlfn.QUARTILE.INC(OFFSET($C$4,(ROW()-ROW($C$4))*24,0,20),2)</f>
        <v>40.977435499999999</v>
      </c>
    </row>
    <row r="7" spans="1:8" x14ac:dyDescent="0.35">
      <c r="A7" s="1">
        <v>4</v>
      </c>
      <c r="B7" s="1">
        <v>444</v>
      </c>
      <c r="C7" s="1">
        <v>17.161507</v>
      </c>
      <c r="F7" s="3" t="s">
        <v>7</v>
      </c>
      <c r="G7" s="3">
        <f t="shared" ca="1" si="0"/>
        <v>9277.75</v>
      </c>
      <c r="H7" s="3">
        <f t="shared" ref="H7:H23" ca="1" si="1">_xlfn.QUARTILE.INC(OFFSET($C$4,(ROW()-ROW($C$4))*24,0,20),2)</f>
        <v>91.565064000000007</v>
      </c>
    </row>
    <row r="8" spans="1:8" x14ac:dyDescent="0.35">
      <c r="A8" s="1">
        <v>5</v>
      </c>
      <c r="B8" s="1">
        <v>446</v>
      </c>
      <c r="C8" s="1">
        <v>13.628831999999999</v>
      </c>
      <c r="F8" s="3" t="s">
        <v>8</v>
      </c>
      <c r="G8" s="3">
        <f t="shared" ca="1" si="0"/>
        <v>753.75</v>
      </c>
      <c r="H8" s="3">
        <f t="shared" ca="1" si="1"/>
        <v>91.381638500000008</v>
      </c>
    </row>
    <row r="9" spans="1:8" x14ac:dyDescent="0.35">
      <c r="A9" s="1">
        <v>6</v>
      </c>
      <c r="B9" s="1">
        <v>446</v>
      </c>
      <c r="C9" s="1">
        <v>7.5409569999999997</v>
      </c>
      <c r="F9" s="3" t="s">
        <v>9</v>
      </c>
      <c r="G9" s="3">
        <f t="shared" ca="1" si="0"/>
        <v>16231.75</v>
      </c>
      <c r="H9" s="3">
        <f t="shared" ca="1" si="1"/>
        <v>105.27484050000001</v>
      </c>
    </row>
    <row r="10" spans="1:8" x14ac:dyDescent="0.35">
      <c r="A10" s="1">
        <v>7</v>
      </c>
      <c r="B10" s="1">
        <v>460</v>
      </c>
      <c r="C10" s="1">
        <v>12.303658</v>
      </c>
      <c r="F10" s="3" t="s">
        <v>10</v>
      </c>
      <c r="G10" s="3">
        <f t="shared" ca="1" si="0"/>
        <v>48097.75</v>
      </c>
      <c r="H10" s="3">
        <f t="shared" ca="1" si="1"/>
        <v>117.3632925</v>
      </c>
    </row>
    <row r="11" spans="1:8" x14ac:dyDescent="0.35">
      <c r="A11" s="1">
        <v>8</v>
      </c>
      <c r="B11" s="1">
        <v>457</v>
      </c>
      <c r="C11" s="1">
        <v>10.993816000000001</v>
      </c>
      <c r="F11" s="3" t="s">
        <v>11</v>
      </c>
      <c r="G11" s="3">
        <f t="shared" ca="1" si="0"/>
        <v>64915.25</v>
      </c>
      <c r="H11" s="3">
        <f t="shared" ca="1" si="1"/>
        <v>174.73962649999999</v>
      </c>
    </row>
    <row r="12" spans="1:8" x14ac:dyDescent="0.35">
      <c r="A12" s="1">
        <v>9</v>
      </c>
      <c r="B12" s="1">
        <v>457</v>
      </c>
      <c r="C12" s="1">
        <v>14.247942</v>
      </c>
      <c r="F12" s="3" t="s">
        <v>12</v>
      </c>
      <c r="G12" s="3">
        <f t="shared" ca="1" si="0"/>
        <v>138757.75</v>
      </c>
      <c r="H12" s="3">
        <f t="shared" ca="1" si="1"/>
        <v>207.16533149999998</v>
      </c>
    </row>
    <row r="13" spans="1:8" x14ac:dyDescent="0.35">
      <c r="A13" s="1">
        <v>10</v>
      </c>
      <c r="B13" s="1">
        <v>449</v>
      </c>
      <c r="C13" s="1">
        <v>10.315827000000001</v>
      </c>
      <c r="F13" s="3" t="s">
        <v>13</v>
      </c>
      <c r="G13" s="3">
        <f t="shared" ca="1" si="0"/>
        <v>7323</v>
      </c>
      <c r="H13" s="3">
        <f t="shared" ca="1" si="1"/>
        <v>220.97699399999999</v>
      </c>
    </row>
    <row r="14" spans="1:8" x14ac:dyDescent="0.35">
      <c r="A14" s="1">
        <v>11</v>
      </c>
      <c r="B14" s="1">
        <v>454</v>
      </c>
      <c r="C14" s="1">
        <v>14.309231</v>
      </c>
      <c r="F14" s="3" t="s">
        <v>14</v>
      </c>
      <c r="G14" s="3">
        <f t="shared" ca="1" si="0"/>
        <v>63517</v>
      </c>
      <c r="H14" s="3">
        <f t="shared" ca="1" si="1"/>
        <v>395.12636299999997</v>
      </c>
    </row>
    <row r="15" spans="1:8" x14ac:dyDescent="0.35">
      <c r="A15" s="1">
        <v>12</v>
      </c>
      <c r="B15" s="1">
        <v>461</v>
      </c>
      <c r="C15" s="1">
        <v>15.213915999999999</v>
      </c>
      <c r="F15" s="3" t="s">
        <v>15</v>
      </c>
      <c r="G15" s="3">
        <f t="shared" ca="1" si="0"/>
        <v>7720.25</v>
      </c>
      <c r="H15" s="3">
        <f t="shared" ca="1" si="1"/>
        <v>358.42982899999998</v>
      </c>
    </row>
    <row r="16" spans="1:8" x14ac:dyDescent="0.35">
      <c r="A16" s="1">
        <v>13</v>
      </c>
      <c r="B16" s="1">
        <v>442</v>
      </c>
      <c r="C16" s="1">
        <v>14.186947999999999</v>
      </c>
      <c r="F16" s="3" t="s">
        <v>16</v>
      </c>
      <c r="G16" s="3">
        <f t="shared" ca="1" si="0"/>
        <v>84882.75</v>
      </c>
      <c r="H16" s="3">
        <f t="shared" ca="1" si="1"/>
        <v>361.500518</v>
      </c>
    </row>
    <row r="17" spans="1:8" x14ac:dyDescent="0.35">
      <c r="A17" s="1">
        <v>14</v>
      </c>
      <c r="B17" s="1">
        <v>443</v>
      </c>
      <c r="C17" s="1">
        <v>15.372204</v>
      </c>
      <c r="F17" s="3" t="s">
        <v>17</v>
      </c>
      <c r="G17" s="3">
        <f t="shared" ca="1" si="0"/>
        <v>97666.75</v>
      </c>
      <c r="H17" s="3">
        <f t="shared" ca="1" si="1"/>
        <v>1684.1062670000001</v>
      </c>
    </row>
    <row r="18" spans="1:8" x14ac:dyDescent="0.35">
      <c r="A18" s="1">
        <v>15</v>
      </c>
      <c r="B18" s="1">
        <v>462</v>
      </c>
      <c r="C18" s="1">
        <v>16.949421999999998</v>
      </c>
      <c r="F18" s="3" t="s">
        <v>18</v>
      </c>
      <c r="G18" s="3">
        <f t="shared" ca="1" si="0"/>
        <v>864.75</v>
      </c>
      <c r="H18" s="3">
        <f t="shared" ca="1" si="1"/>
        <v>308.95060550000005</v>
      </c>
    </row>
    <row r="19" spans="1:8" x14ac:dyDescent="0.35">
      <c r="A19" s="1">
        <v>16</v>
      </c>
      <c r="B19" s="1">
        <v>462</v>
      </c>
      <c r="C19" s="1">
        <v>11.938704</v>
      </c>
      <c r="F19" s="3" t="s">
        <v>19</v>
      </c>
      <c r="G19" s="3">
        <f t="shared" ca="1" si="0"/>
        <v>734.25</v>
      </c>
      <c r="H19" s="3">
        <f t="shared" ca="1" si="1"/>
        <v>30.033479499999999</v>
      </c>
    </row>
    <row r="20" spans="1:8" x14ac:dyDescent="0.35">
      <c r="A20" s="1">
        <v>17</v>
      </c>
      <c r="B20" s="1">
        <v>463</v>
      </c>
      <c r="C20" s="1">
        <v>10.538629</v>
      </c>
      <c r="F20" s="3" t="s">
        <v>20</v>
      </c>
      <c r="G20" s="3">
        <f t="shared" ca="1" si="0"/>
        <v>53016.25</v>
      </c>
      <c r="H20" s="3">
        <f t="shared" ca="1" si="1"/>
        <v>480.610345</v>
      </c>
    </row>
    <row r="21" spans="1:8" x14ac:dyDescent="0.35">
      <c r="A21" s="1">
        <v>18</v>
      </c>
      <c r="B21" s="1">
        <v>455</v>
      </c>
      <c r="C21" s="1">
        <v>9.6511770000000006</v>
      </c>
      <c r="F21" s="3" t="s">
        <v>21</v>
      </c>
      <c r="G21" s="3">
        <f t="shared" ca="1" si="0"/>
        <v>33614</v>
      </c>
      <c r="H21" s="3">
        <f t="shared" ca="1" si="1"/>
        <v>12.771984</v>
      </c>
    </row>
    <row r="22" spans="1:8" x14ac:dyDescent="0.35">
      <c r="A22" s="1">
        <v>19</v>
      </c>
      <c r="B22" s="1">
        <v>435</v>
      </c>
      <c r="C22" s="1">
        <v>19.961970999999998</v>
      </c>
      <c r="F22" s="3" t="s">
        <v>22</v>
      </c>
      <c r="G22" s="3">
        <f t="shared" ca="1" si="0"/>
        <v>62863.5</v>
      </c>
      <c r="H22" s="3">
        <f t="shared" ca="1" si="1"/>
        <v>92.745465499999995</v>
      </c>
    </row>
    <row r="23" spans="1:8" x14ac:dyDescent="0.35">
      <c r="A23" s="1">
        <v>20</v>
      </c>
      <c r="B23" s="1">
        <v>451</v>
      </c>
      <c r="C23" s="1">
        <v>15.249998</v>
      </c>
      <c r="F23" s="3" t="s">
        <v>23</v>
      </c>
      <c r="G23" s="3">
        <f t="shared" ca="1" si="0"/>
        <v>1399.5</v>
      </c>
      <c r="H23" s="3">
        <f t="shared" ca="1" si="1"/>
        <v>89.744116500000004</v>
      </c>
    </row>
    <row r="24" spans="1:8" x14ac:dyDescent="0.35">
      <c r="A24" s="2" t="s">
        <v>4</v>
      </c>
      <c r="B24" s="2">
        <f>AVERAGE(B4:B23)</f>
        <v>451.6</v>
      </c>
      <c r="C24" s="2">
        <f>AVERAGE(C4:C23)</f>
        <v>13.413088849999999</v>
      </c>
    </row>
    <row r="26" spans="1:8" ht="21" x14ac:dyDescent="0.5">
      <c r="A26" s="4" t="s">
        <v>5</v>
      </c>
      <c r="B26" s="4"/>
      <c r="C26" s="4"/>
    </row>
    <row r="27" spans="1:8" x14ac:dyDescent="0.35">
      <c r="A27" s="1" t="s">
        <v>1</v>
      </c>
      <c r="B27" s="1" t="s">
        <v>2</v>
      </c>
      <c r="C27" s="1" t="s">
        <v>3</v>
      </c>
    </row>
    <row r="28" spans="1:8" x14ac:dyDescent="0.35">
      <c r="A28" s="1">
        <v>1</v>
      </c>
      <c r="B28" s="1">
        <v>588</v>
      </c>
      <c r="C28" s="1">
        <v>42.714219</v>
      </c>
    </row>
    <row r="29" spans="1:8" x14ac:dyDescent="0.35">
      <c r="A29" s="1">
        <v>2</v>
      </c>
      <c r="B29" s="1">
        <v>598</v>
      </c>
      <c r="C29" s="1">
        <v>47.739553999999998</v>
      </c>
    </row>
    <row r="30" spans="1:8" x14ac:dyDescent="0.35">
      <c r="A30" s="1">
        <v>3</v>
      </c>
      <c r="B30" s="1">
        <v>585</v>
      </c>
      <c r="C30" s="1">
        <v>48.556711999999997</v>
      </c>
    </row>
    <row r="31" spans="1:8" x14ac:dyDescent="0.35">
      <c r="A31" s="1">
        <v>4</v>
      </c>
      <c r="B31" s="1">
        <v>595</v>
      </c>
      <c r="C31" s="1">
        <v>55.020001000000001</v>
      </c>
    </row>
    <row r="32" spans="1:8" x14ac:dyDescent="0.35">
      <c r="A32" s="1">
        <v>5</v>
      </c>
      <c r="B32" s="1">
        <v>601</v>
      </c>
      <c r="C32" s="1">
        <v>34.037523</v>
      </c>
    </row>
    <row r="33" spans="1:3" x14ac:dyDescent="0.35">
      <c r="A33" s="1">
        <v>6</v>
      </c>
      <c r="B33" s="1">
        <v>582</v>
      </c>
      <c r="C33" s="1">
        <v>42.451388999999999</v>
      </c>
    </row>
    <row r="34" spans="1:3" x14ac:dyDescent="0.35">
      <c r="A34" s="1">
        <v>7</v>
      </c>
      <c r="B34" s="1">
        <v>591</v>
      </c>
      <c r="C34" s="1">
        <v>53.832968999999999</v>
      </c>
    </row>
    <row r="35" spans="1:3" x14ac:dyDescent="0.35">
      <c r="A35" s="1">
        <v>8</v>
      </c>
      <c r="B35" s="1">
        <v>565</v>
      </c>
      <c r="C35" s="1">
        <v>38.528993999999997</v>
      </c>
    </row>
    <row r="36" spans="1:3" x14ac:dyDescent="0.35">
      <c r="A36" s="1">
        <v>9</v>
      </c>
      <c r="B36" s="1">
        <v>587</v>
      </c>
      <c r="C36" s="1">
        <v>35.600881000000001</v>
      </c>
    </row>
    <row r="37" spans="1:3" x14ac:dyDescent="0.35">
      <c r="A37" s="1">
        <v>10</v>
      </c>
      <c r="B37" s="1">
        <v>609</v>
      </c>
      <c r="C37" s="1">
        <v>38.031402999999997</v>
      </c>
    </row>
    <row r="38" spans="1:3" x14ac:dyDescent="0.35">
      <c r="A38" s="1">
        <v>11</v>
      </c>
      <c r="B38" s="1">
        <v>599</v>
      </c>
      <c r="C38" s="1">
        <v>44.363810000000001</v>
      </c>
    </row>
    <row r="39" spans="1:3" x14ac:dyDescent="0.35">
      <c r="A39" s="1">
        <v>12</v>
      </c>
      <c r="B39" s="1">
        <v>594</v>
      </c>
      <c r="C39" s="1">
        <v>33.477449</v>
      </c>
    </row>
    <row r="40" spans="1:3" x14ac:dyDescent="0.35">
      <c r="A40" s="1">
        <v>13</v>
      </c>
      <c r="B40" s="1">
        <v>584</v>
      </c>
      <c r="C40" s="1">
        <v>43.990090000000002</v>
      </c>
    </row>
    <row r="41" spans="1:3" x14ac:dyDescent="0.35">
      <c r="A41" s="1">
        <v>14</v>
      </c>
      <c r="B41" s="1">
        <v>597</v>
      </c>
      <c r="C41" s="1">
        <v>38.956136000000001</v>
      </c>
    </row>
    <row r="42" spans="1:3" x14ac:dyDescent="0.35">
      <c r="A42" s="1">
        <v>15</v>
      </c>
      <c r="B42" s="1">
        <v>595</v>
      </c>
      <c r="C42" s="1">
        <v>45.445287</v>
      </c>
    </row>
    <row r="43" spans="1:3" x14ac:dyDescent="0.35">
      <c r="A43" s="1">
        <v>16</v>
      </c>
      <c r="B43" s="1">
        <v>592</v>
      </c>
      <c r="C43" s="1">
        <v>36.598182999999999</v>
      </c>
    </row>
    <row r="44" spans="1:3" x14ac:dyDescent="0.35">
      <c r="A44" s="1">
        <v>17</v>
      </c>
      <c r="B44" s="1">
        <v>580</v>
      </c>
      <c r="C44" s="1">
        <v>32.269272999999998</v>
      </c>
    </row>
    <row r="45" spans="1:3" x14ac:dyDescent="0.35">
      <c r="A45" s="1">
        <v>18</v>
      </c>
      <c r="B45" s="1">
        <v>614</v>
      </c>
      <c r="C45" s="1">
        <v>29.989856</v>
      </c>
    </row>
    <row r="46" spans="1:3" x14ac:dyDescent="0.35">
      <c r="A46" s="1">
        <v>19</v>
      </c>
      <c r="B46" s="1">
        <v>601</v>
      </c>
      <c r="C46" s="1">
        <v>43.653869999999998</v>
      </c>
    </row>
    <row r="47" spans="1:3" x14ac:dyDescent="0.35">
      <c r="A47" s="1">
        <v>20</v>
      </c>
      <c r="B47" s="1">
        <v>591</v>
      </c>
      <c r="C47" s="1">
        <v>38.317844999999998</v>
      </c>
    </row>
    <row r="48" spans="1:3" x14ac:dyDescent="0.35">
      <c r="A48" s="1" t="s">
        <v>4</v>
      </c>
      <c r="B48" s="2">
        <f>AVERAGE(B28:B47)</f>
        <v>592.4</v>
      </c>
      <c r="C48" s="2">
        <f>AVERAGE(C28:C47)</f>
        <v>41.178772200000004</v>
      </c>
    </row>
    <row r="50" spans="1:3" ht="21" x14ac:dyDescent="0.5">
      <c r="A50" s="4" t="s">
        <v>6</v>
      </c>
      <c r="B50" s="4"/>
      <c r="C50" s="4"/>
    </row>
    <row r="51" spans="1:3" x14ac:dyDescent="0.35">
      <c r="A51" s="1" t="s">
        <v>1</v>
      </c>
      <c r="B51" s="1" t="s">
        <v>2</v>
      </c>
      <c r="C51" s="1" t="s">
        <v>3</v>
      </c>
    </row>
    <row r="52" spans="1:3" x14ac:dyDescent="0.35">
      <c r="A52" s="1">
        <v>1</v>
      </c>
      <c r="B52" s="1">
        <v>118673</v>
      </c>
      <c r="C52" s="1">
        <v>27.759114</v>
      </c>
    </row>
    <row r="53" spans="1:3" x14ac:dyDescent="0.35">
      <c r="A53" s="1">
        <v>2</v>
      </c>
      <c r="B53" s="1">
        <v>122364</v>
      </c>
      <c r="C53" s="1">
        <v>35.992030999999997</v>
      </c>
    </row>
    <row r="54" spans="1:3" x14ac:dyDescent="0.35">
      <c r="A54" s="1">
        <v>3</v>
      </c>
      <c r="B54" s="1">
        <v>120312</v>
      </c>
      <c r="C54" s="1">
        <v>47.156401000000002</v>
      </c>
    </row>
    <row r="55" spans="1:3" x14ac:dyDescent="0.35">
      <c r="A55" s="1">
        <v>4</v>
      </c>
      <c r="B55" s="1">
        <v>119437</v>
      </c>
      <c r="C55" s="1">
        <v>43.959124000000003</v>
      </c>
    </row>
    <row r="56" spans="1:3" x14ac:dyDescent="0.35">
      <c r="A56" s="1">
        <v>5</v>
      </c>
      <c r="B56" s="1">
        <v>123536</v>
      </c>
      <c r="C56" s="1">
        <v>43.901038</v>
      </c>
    </row>
    <row r="57" spans="1:3" x14ac:dyDescent="0.35">
      <c r="A57" s="1">
        <v>6</v>
      </c>
      <c r="B57" s="1">
        <v>119781</v>
      </c>
      <c r="C57" s="1">
        <v>33.695289000000002</v>
      </c>
    </row>
    <row r="58" spans="1:3" x14ac:dyDescent="0.35">
      <c r="A58" s="1">
        <v>7</v>
      </c>
      <c r="B58" s="1">
        <v>116794</v>
      </c>
      <c r="C58" s="1">
        <v>45.357004000000003</v>
      </c>
    </row>
    <row r="59" spans="1:3" x14ac:dyDescent="0.35">
      <c r="A59" s="1">
        <v>8</v>
      </c>
      <c r="B59" s="1">
        <v>119300</v>
      </c>
      <c r="C59" s="1">
        <v>46.396183999999998</v>
      </c>
    </row>
    <row r="60" spans="1:3" x14ac:dyDescent="0.35">
      <c r="A60" s="1">
        <v>9</v>
      </c>
      <c r="B60" s="1">
        <v>122782</v>
      </c>
      <c r="C60" s="1">
        <v>32.364721000000003</v>
      </c>
    </row>
    <row r="61" spans="1:3" x14ac:dyDescent="0.35">
      <c r="A61" s="1">
        <v>10</v>
      </c>
      <c r="B61" s="1">
        <v>122645</v>
      </c>
      <c r="C61" s="1">
        <v>43.447977999999999</v>
      </c>
    </row>
    <row r="62" spans="1:3" x14ac:dyDescent="0.35">
      <c r="A62" s="1">
        <v>11</v>
      </c>
      <c r="B62" s="1">
        <v>124089</v>
      </c>
      <c r="C62" s="1">
        <v>43.876617000000003</v>
      </c>
    </row>
    <row r="63" spans="1:3" x14ac:dyDescent="0.35">
      <c r="A63" s="1">
        <v>12</v>
      </c>
      <c r="B63" s="1">
        <v>121852</v>
      </c>
      <c r="C63" s="1">
        <v>40.793050999999998</v>
      </c>
    </row>
    <row r="64" spans="1:3" x14ac:dyDescent="0.35">
      <c r="A64" s="1">
        <v>13</v>
      </c>
      <c r="B64" s="1">
        <v>121173</v>
      </c>
      <c r="C64" s="1">
        <v>34.039670000000001</v>
      </c>
    </row>
    <row r="65" spans="1:3" x14ac:dyDescent="0.35">
      <c r="A65" s="1">
        <v>14</v>
      </c>
      <c r="B65" s="1">
        <v>121181</v>
      </c>
      <c r="C65" s="1">
        <v>39.687041000000001</v>
      </c>
    </row>
    <row r="66" spans="1:3" x14ac:dyDescent="0.35">
      <c r="A66" s="1">
        <v>15</v>
      </c>
      <c r="B66" s="1">
        <v>122053</v>
      </c>
      <c r="C66" s="1">
        <v>41.980733000000001</v>
      </c>
    </row>
    <row r="67" spans="1:3" x14ac:dyDescent="0.35">
      <c r="A67" s="1">
        <v>16</v>
      </c>
      <c r="B67" s="1">
        <v>121437</v>
      </c>
      <c r="C67" s="1">
        <v>34.676600999999998</v>
      </c>
    </row>
    <row r="68" spans="1:3" x14ac:dyDescent="0.35">
      <c r="A68" s="1">
        <v>17</v>
      </c>
      <c r="B68" s="1">
        <v>118245</v>
      </c>
      <c r="C68" s="1">
        <v>40.304833000000002</v>
      </c>
    </row>
    <row r="69" spans="1:3" x14ac:dyDescent="0.35">
      <c r="A69" s="1">
        <v>18</v>
      </c>
      <c r="B69" s="1">
        <v>123425</v>
      </c>
      <c r="C69" s="1">
        <v>41.161819999999999</v>
      </c>
    </row>
    <row r="70" spans="1:3" x14ac:dyDescent="0.35">
      <c r="A70" s="1">
        <v>19</v>
      </c>
      <c r="B70" s="1">
        <v>117066</v>
      </c>
      <c r="C70" s="1">
        <v>49.101818999999999</v>
      </c>
    </row>
    <row r="71" spans="1:3" x14ac:dyDescent="0.35">
      <c r="A71" s="1">
        <v>20</v>
      </c>
      <c r="B71" s="1">
        <v>119606</v>
      </c>
      <c r="C71" s="1">
        <v>37.315306999999997</v>
      </c>
    </row>
    <row r="72" spans="1:3" x14ac:dyDescent="0.35">
      <c r="A72" s="1" t="s">
        <v>4</v>
      </c>
      <c r="B72" s="2">
        <f>AVERAGE(B52:B71)</f>
        <v>120787.55</v>
      </c>
      <c r="C72" s="2">
        <f>AVERAGE(C52:C71)</f>
        <v>40.148318799999998</v>
      </c>
    </row>
    <row r="74" spans="1:3" ht="21" x14ac:dyDescent="0.5">
      <c r="A74" s="4" t="s">
        <v>7</v>
      </c>
      <c r="B74" s="4"/>
      <c r="C74" s="4"/>
    </row>
    <row r="75" spans="1:3" x14ac:dyDescent="0.35">
      <c r="A75" s="1" t="s">
        <v>1</v>
      </c>
      <c r="B75" s="1" t="s">
        <v>2</v>
      </c>
      <c r="C75" s="1" t="s">
        <v>3</v>
      </c>
    </row>
    <row r="76" spans="1:3" x14ac:dyDescent="0.35">
      <c r="A76" s="1">
        <v>1</v>
      </c>
      <c r="B76" s="1">
        <v>9332</v>
      </c>
      <c r="C76" s="1">
        <v>86.274437000000006</v>
      </c>
    </row>
    <row r="77" spans="1:3" x14ac:dyDescent="0.35">
      <c r="A77" s="1">
        <v>2</v>
      </c>
      <c r="B77" s="1">
        <v>9583</v>
      </c>
      <c r="C77" s="1">
        <v>135.339607</v>
      </c>
    </row>
    <row r="78" spans="1:3" x14ac:dyDescent="0.35">
      <c r="A78" s="1">
        <v>3</v>
      </c>
      <c r="B78" s="1">
        <v>9283</v>
      </c>
      <c r="C78" s="1">
        <v>99.997416000000001</v>
      </c>
    </row>
    <row r="79" spans="1:3" x14ac:dyDescent="0.35">
      <c r="A79" s="1">
        <v>4</v>
      </c>
      <c r="B79" s="1">
        <v>9562</v>
      </c>
      <c r="C79" s="1">
        <v>89.347521</v>
      </c>
    </row>
    <row r="80" spans="1:3" x14ac:dyDescent="0.35">
      <c r="A80" s="1">
        <v>5</v>
      </c>
      <c r="B80" s="1">
        <v>9526</v>
      </c>
      <c r="C80" s="1">
        <v>100.75515900000001</v>
      </c>
    </row>
    <row r="81" spans="1:3" x14ac:dyDescent="0.35">
      <c r="A81" s="1">
        <v>6</v>
      </c>
      <c r="B81" s="1">
        <v>9157</v>
      </c>
      <c r="C81" s="1">
        <v>91.157775000000001</v>
      </c>
    </row>
    <row r="82" spans="1:3" x14ac:dyDescent="0.35">
      <c r="A82" s="1">
        <v>7</v>
      </c>
      <c r="B82" s="1">
        <v>9420</v>
      </c>
      <c r="C82" s="1">
        <v>90.609744000000006</v>
      </c>
    </row>
    <row r="83" spans="1:3" x14ac:dyDescent="0.35">
      <c r="A83" s="1">
        <v>8</v>
      </c>
      <c r="B83" s="1">
        <v>9420</v>
      </c>
      <c r="C83" s="1">
        <v>83.314248000000006</v>
      </c>
    </row>
    <row r="84" spans="1:3" x14ac:dyDescent="0.35">
      <c r="A84" s="1">
        <v>9</v>
      </c>
      <c r="B84" s="1">
        <v>9573</v>
      </c>
      <c r="C84" s="1">
        <v>99.350424000000004</v>
      </c>
    </row>
    <row r="85" spans="1:3" x14ac:dyDescent="0.35">
      <c r="A85" s="1">
        <v>10</v>
      </c>
      <c r="B85" s="1">
        <v>9416</v>
      </c>
      <c r="C85" s="1">
        <v>76.083337</v>
      </c>
    </row>
    <row r="86" spans="1:3" x14ac:dyDescent="0.35">
      <c r="A86" s="1">
        <v>11</v>
      </c>
      <c r="B86" s="1">
        <v>9499</v>
      </c>
      <c r="C86" s="1">
        <v>93.252202999999994</v>
      </c>
    </row>
    <row r="87" spans="1:3" x14ac:dyDescent="0.35">
      <c r="A87" s="1">
        <v>12</v>
      </c>
      <c r="B87" s="1">
        <v>9262</v>
      </c>
      <c r="C87" s="1">
        <v>90.119517000000002</v>
      </c>
    </row>
    <row r="88" spans="1:3" x14ac:dyDescent="0.35">
      <c r="A88" s="1">
        <v>13</v>
      </c>
      <c r="B88" s="1">
        <v>9316</v>
      </c>
      <c r="C88" s="1">
        <v>118.063</v>
      </c>
    </row>
    <row r="89" spans="1:3" x14ac:dyDescent="0.35">
      <c r="A89" s="1">
        <v>14</v>
      </c>
      <c r="B89" s="1">
        <v>9128</v>
      </c>
      <c r="C89" s="1">
        <v>94.356469000000004</v>
      </c>
    </row>
    <row r="90" spans="1:3" x14ac:dyDescent="0.35">
      <c r="A90" s="1">
        <v>15</v>
      </c>
      <c r="B90" s="1">
        <v>9237</v>
      </c>
      <c r="C90" s="1">
        <v>136.04090299999999</v>
      </c>
    </row>
    <row r="91" spans="1:3" x14ac:dyDescent="0.35">
      <c r="A91" s="1">
        <v>16</v>
      </c>
      <c r="B91" s="1">
        <v>9352</v>
      </c>
      <c r="C91" s="1">
        <v>91.972352999999998</v>
      </c>
    </row>
    <row r="92" spans="1:3" x14ac:dyDescent="0.35">
      <c r="A92" s="1">
        <v>17</v>
      </c>
      <c r="B92" s="1">
        <v>9326</v>
      </c>
      <c r="C92" s="1">
        <v>82.557439000000002</v>
      </c>
    </row>
    <row r="93" spans="1:3" x14ac:dyDescent="0.35">
      <c r="A93" s="1">
        <v>18</v>
      </c>
      <c r="B93" s="1">
        <v>9283</v>
      </c>
      <c r="C93" s="1">
        <v>104.698662</v>
      </c>
    </row>
    <row r="94" spans="1:3" x14ac:dyDescent="0.35">
      <c r="A94" s="1">
        <v>19</v>
      </c>
      <c r="B94" s="1">
        <v>9554</v>
      </c>
      <c r="C94" s="1">
        <v>89.807393000000005</v>
      </c>
    </row>
    <row r="95" spans="1:3" x14ac:dyDescent="0.35">
      <c r="A95" s="1">
        <v>20</v>
      </c>
      <c r="B95" s="1">
        <v>9095</v>
      </c>
      <c r="C95" s="1">
        <v>88.794552999999993</v>
      </c>
    </row>
    <row r="96" spans="1:3" x14ac:dyDescent="0.35">
      <c r="A96" s="1" t="s">
        <v>4</v>
      </c>
      <c r="B96" s="2">
        <f>AVERAGE(B76:B95)</f>
        <v>9366.2000000000007</v>
      </c>
      <c r="C96" s="2">
        <f>AVERAGE(C76:C95)</f>
        <v>97.094608000000008</v>
      </c>
    </row>
    <row r="98" spans="1:3" ht="21" x14ac:dyDescent="0.5">
      <c r="A98" s="4" t="s">
        <v>8</v>
      </c>
      <c r="B98" s="4"/>
      <c r="C98" s="4"/>
    </row>
    <row r="99" spans="1:3" x14ac:dyDescent="0.35">
      <c r="A99" s="1" t="s">
        <v>1</v>
      </c>
      <c r="B99" s="1" t="s">
        <v>2</v>
      </c>
      <c r="C99" s="1" t="s">
        <v>3</v>
      </c>
    </row>
    <row r="100" spans="1:3" x14ac:dyDescent="0.35">
      <c r="A100" s="1">
        <v>1</v>
      </c>
      <c r="B100" s="1">
        <v>765</v>
      </c>
      <c r="C100" s="1">
        <v>89.171796000000001</v>
      </c>
    </row>
    <row r="101" spans="1:3" x14ac:dyDescent="0.35">
      <c r="A101" s="1">
        <v>2</v>
      </c>
      <c r="B101" s="1">
        <v>772</v>
      </c>
      <c r="C101" s="1">
        <v>78.142902000000007</v>
      </c>
    </row>
    <row r="102" spans="1:3" x14ac:dyDescent="0.35">
      <c r="A102" s="1">
        <v>3</v>
      </c>
      <c r="B102" s="1">
        <v>747</v>
      </c>
      <c r="C102" s="1">
        <v>118.01644</v>
      </c>
    </row>
    <row r="103" spans="1:3" x14ac:dyDescent="0.35">
      <c r="A103" s="1">
        <v>4</v>
      </c>
      <c r="B103" s="1">
        <v>771</v>
      </c>
      <c r="C103" s="1">
        <v>97.495022000000006</v>
      </c>
    </row>
    <row r="104" spans="1:3" x14ac:dyDescent="0.35">
      <c r="A104" s="1">
        <v>5</v>
      </c>
      <c r="B104" s="1">
        <v>722</v>
      </c>
      <c r="C104" s="1">
        <v>78.760024000000001</v>
      </c>
    </row>
    <row r="105" spans="1:3" x14ac:dyDescent="0.35">
      <c r="A105" s="1">
        <v>6</v>
      </c>
      <c r="B105" s="1">
        <v>760</v>
      </c>
      <c r="C105" s="1">
        <v>84.173804000000004</v>
      </c>
    </row>
    <row r="106" spans="1:3" x14ac:dyDescent="0.35">
      <c r="A106" s="1">
        <v>7</v>
      </c>
      <c r="B106" s="1">
        <v>737</v>
      </c>
      <c r="C106" s="1">
        <v>129.60824400000001</v>
      </c>
    </row>
    <row r="107" spans="1:3" x14ac:dyDescent="0.35">
      <c r="A107" s="1">
        <v>8</v>
      </c>
      <c r="B107" s="1">
        <v>773</v>
      </c>
      <c r="C107" s="1">
        <v>80.840236000000004</v>
      </c>
    </row>
    <row r="108" spans="1:3" x14ac:dyDescent="0.35">
      <c r="A108" s="1">
        <v>9</v>
      </c>
      <c r="B108" s="1">
        <v>739</v>
      </c>
      <c r="C108" s="1">
        <v>88.207316000000006</v>
      </c>
    </row>
    <row r="109" spans="1:3" x14ac:dyDescent="0.35">
      <c r="A109" s="1">
        <v>10</v>
      </c>
      <c r="B109" s="1">
        <v>777</v>
      </c>
      <c r="C109" s="1">
        <v>132.73944900000001</v>
      </c>
    </row>
    <row r="110" spans="1:3" x14ac:dyDescent="0.35">
      <c r="A110" s="1">
        <v>11</v>
      </c>
      <c r="B110" s="1">
        <v>768</v>
      </c>
      <c r="C110" s="1">
        <v>79.741388000000001</v>
      </c>
    </row>
    <row r="111" spans="1:3" x14ac:dyDescent="0.35">
      <c r="A111" s="1">
        <v>12</v>
      </c>
      <c r="B111" s="1">
        <v>791</v>
      </c>
      <c r="C111" s="1">
        <v>81.845941999999994</v>
      </c>
    </row>
    <row r="112" spans="1:3" x14ac:dyDescent="0.35">
      <c r="A112" s="1">
        <v>13</v>
      </c>
      <c r="B112" s="1">
        <v>761</v>
      </c>
      <c r="C112" s="1">
        <v>93.105783000000002</v>
      </c>
    </row>
    <row r="113" spans="1:3" x14ac:dyDescent="0.35">
      <c r="A113" s="1">
        <v>14</v>
      </c>
      <c r="B113" s="1">
        <v>741</v>
      </c>
      <c r="C113" s="1">
        <v>96.609677000000005</v>
      </c>
    </row>
    <row r="114" spans="1:3" x14ac:dyDescent="0.35">
      <c r="A114" s="1">
        <v>15</v>
      </c>
      <c r="B114" s="1">
        <v>768</v>
      </c>
      <c r="C114" s="1">
        <v>92.061588999999998</v>
      </c>
    </row>
    <row r="115" spans="1:3" x14ac:dyDescent="0.35">
      <c r="A115" s="1">
        <v>16</v>
      </c>
      <c r="B115" s="1">
        <v>770</v>
      </c>
      <c r="C115" s="1">
        <v>108.135351</v>
      </c>
    </row>
    <row r="116" spans="1:3" x14ac:dyDescent="0.35">
      <c r="A116" s="1">
        <v>17</v>
      </c>
      <c r="B116" s="1">
        <v>757</v>
      </c>
      <c r="C116" s="1">
        <v>83.715312999999995</v>
      </c>
    </row>
    <row r="117" spans="1:3" x14ac:dyDescent="0.35">
      <c r="A117" s="1">
        <v>18</v>
      </c>
      <c r="B117" s="1">
        <v>759</v>
      </c>
      <c r="C117" s="1">
        <v>94.570853</v>
      </c>
    </row>
    <row r="118" spans="1:3" x14ac:dyDescent="0.35">
      <c r="A118" s="1">
        <v>19</v>
      </c>
      <c r="B118" s="1">
        <v>756</v>
      </c>
      <c r="C118" s="1">
        <v>114.888623</v>
      </c>
    </row>
    <row r="119" spans="1:3" x14ac:dyDescent="0.35">
      <c r="A119" s="1">
        <v>20</v>
      </c>
      <c r="B119" s="1">
        <v>762</v>
      </c>
      <c r="C119" s="1">
        <v>90.701688000000004</v>
      </c>
    </row>
    <row r="120" spans="1:3" x14ac:dyDescent="0.35">
      <c r="A120" s="1" t="s">
        <v>4</v>
      </c>
      <c r="B120" s="2">
        <f>AVERAGE(B100:B119)</f>
        <v>759.8</v>
      </c>
      <c r="C120" s="2">
        <f>AVERAGE(C100:C119)</f>
        <v>95.626571999999982</v>
      </c>
    </row>
    <row r="122" spans="1:3" ht="21" x14ac:dyDescent="0.5">
      <c r="A122" s="4" t="s">
        <v>9</v>
      </c>
      <c r="B122" s="4"/>
      <c r="C122" s="4"/>
    </row>
    <row r="123" spans="1:3" x14ac:dyDescent="0.35">
      <c r="A123" s="1" t="s">
        <v>1</v>
      </c>
      <c r="B123" s="1" t="s">
        <v>2</v>
      </c>
      <c r="C123" s="1" t="s">
        <v>3</v>
      </c>
    </row>
    <row r="124" spans="1:3" x14ac:dyDescent="0.35">
      <c r="A124" s="1">
        <v>1</v>
      </c>
      <c r="B124" s="1">
        <v>16660</v>
      </c>
      <c r="C124" s="1">
        <v>108.670192</v>
      </c>
    </row>
    <row r="125" spans="1:3" x14ac:dyDescent="0.35">
      <c r="A125" s="1">
        <v>2</v>
      </c>
      <c r="B125" s="1">
        <v>16306</v>
      </c>
      <c r="C125" s="1">
        <v>111.903077</v>
      </c>
    </row>
    <row r="126" spans="1:3" x14ac:dyDescent="0.35">
      <c r="A126" s="1">
        <v>3</v>
      </c>
      <c r="B126" s="1">
        <v>17281</v>
      </c>
      <c r="C126" s="1">
        <v>89.302092999999999</v>
      </c>
    </row>
    <row r="127" spans="1:3" x14ac:dyDescent="0.35">
      <c r="A127" s="1">
        <v>4</v>
      </c>
      <c r="B127" s="1">
        <v>16317</v>
      </c>
      <c r="C127" s="1">
        <v>120.44070000000001</v>
      </c>
    </row>
    <row r="128" spans="1:3" x14ac:dyDescent="0.35">
      <c r="A128" s="1">
        <v>5</v>
      </c>
      <c r="B128" s="1">
        <v>16507</v>
      </c>
      <c r="C128" s="1">
        <v>120.769181</v>
      </c>
    </row>
    <row r="129" spans="1:3" x14ac:dyDescent="0.35">
      <c r="A129" s="1">
        <v>6</v>
      </c>
      <c r="B129" s="1">
        <v>16126</v>
      </c>
      <c r="C129" s="1">
        <v>92.977063999999999</v>
      </c>
    </row>
    <row r="130" spans="1:3" x14ac:dyDescent="0.35">
      <c r="A130" s="1">
        <v>7</v>
      </c>
      <c r="B130" s="1">
        <v>15474</v>
      </c>
      <c r="C130" s="1">
        <v>91.541904000000002</v>
      </c>
    </row>
    <row r="131" spans="1:3" x14ac:dyDescent="0.35">
      <c r="A131" s="1">
        <v>8</v>
      </c>
      <c r="B131" s="1">
        <v>16135</v>
      </c>
      <c r="C131" s="1">
        <v>110.85180200000001</v>
      </c>
    </row>
    <row r="132" spans="1:3" x14ac:dyDescent="0.35">
      <c r="A132" s="1">
        <v>9</v>
      </c>
      <c r="B132" s="1">
        <v>16730</v>
      </c>
      <c r="C132" s="1">
        <v>96.764764</v>
      </c>
    </row>
    <row r="133" spans="1:3" x14ac:dyDescent="0.35">
      <c r="A133" s="1">
        <v>10</v>
      </c>
      <c r="B133" s="1">
        <v>16264</v>
      </c>
      <c r="C133" s="1">
        <v>93.349765000000005</v>
      </c>
    </row>
    <row r="134" spans="1:3" x14ac:dyDescent="0.35">
      <c r="A134" s="1">
        <v>11</v>
      </c>
      <c r="B134" s="1">
        <v>16320</v>
      </c>
      <c r="C134" s="1">
        <v>113.47754399999999</v>
      </c>
    </row>
    <row r="135" spans="1:3" x14ac:dyDescent="0.35">
      <c r="A135" s="1">
        <v>12</v>
      </c>
      <c r="B135" s="1">
        <v>16727</v>
      </c>
      <c r="C135" s="1">
        <v>101.87948900000001</v>
      </c>
    </row>
    <row r="136" spans="1:3" x14ac:dyDescent="0.35">
      <c r="A136" s="1">
        <v>13</v>
      </c>
      <c r="B136" s="1">
        <v>16273</v>
      </c>
      <c r="C136" s="1">
        <v>139.77765400000001</v>
      </c>
    </row>
    <row r="137" spans="1:3" x14ac:dyDescent="0.35">
      <c r="A137" s="1">
        <v>14</v>
      </c>
      <c r="B137" s="1">
        <v>16605</v>
      </c>
      <c r="C137" s="1">
        <v>118.979094</v>
      </c>
    </row>
    <row r="138" spans="1:3" x14ac:dyDescent="0.35">
      <c r="A138" s="1">
        <v>15</v>
      </c>
      <c r="B138" s="1">
        <v>16765</v>
      </c>
      <c r="C138" s="1">
        <v>96.856009999999998</v>
      </c>
    </row>
    <row r="139" spans="1:3" x14ac:dyDescent="0.35">
      <c r="A139" s="1">
        <v>16</v>
      </c>
      <c r="B139" s="1">
        <v>16047</v>
      </c>
      <c r="C139" s="1">
        <v>88.896810000000002</v>
      </c>
    </row>
    <row r="140" spans="1:3" x14ac:dyDescent="0.35">
      <c r="A140" s="1">
        <v>17</v>
      </c>
      <c r="B140" s="1">
        <v>16698</v>
      </c>
      <c r="C140" s="1">
        <v>116.63888300000001</v>
      </c>
    </row>
    <row r="141" spans="1:3" x14ac:dyDescent="0.35">
      <c r="A141" s="1">
        <v>18</v>
      </c>
      <c r="B141" s="1">
        <v>16738</v>
      </c>
      <c r="C141" s="1">
        <v>100.327315</v>
      </c>
    </row>
    <row r="142" spans="1:3" x14ac:dyDescent="0.35">
      <c r="A142" s="1">
        <v>19</v>
      </c>
      <c r="B142" s="1">
        <v>16768</v>
      </c>
      <c r="C142" s="1">
        <v>128.02858900000001</v>
      </c>
    </row>
    <row r="143" spans="1:3" x14ac:dyDescent="0.35">
      <c r="A143" s="1">
        <v>20</v>
      </c>
      <c r="B143" s="1">
        <v>16058</v>
      </c>
      <c r="C143" s="1">
        <v>94.847264999999993</v>
      </c>
    </row>
    <row r="144" spans="1:3" x14ac:dyDescent="0.35">
      <c r="A144" s="1" t="s">
        <v>4</v>
      </c>
      <c r="B144" s="2">
        <f>AVERAGE(B124:B143)</f>
        <v>16439.95</v>
      </c>
      <c r="C144" s="2">
        <f>AVERAGE(C124:C143)</f>
        <v>106.81395975000001</v>
      </c>
    </row>
    <row r="146" spans="1:3" ht="21" x14ac:dyDescent="0.5">
      <c r="A146" s="4" t="s">
        <v>10</v>
      </c>
      <c r="B146" s="4"/>
      <c r="C146" s="4"/>
    </row>
    <row r="147" spans="1:3" x14ac:dyDescent="0.35">
      <c r="A147" s="1" t="s">
        <v>1</v>
      </c>
      <c r="B147" s="1" t="s">
        <v>2</v>
      </c>
      <c r="C147" s="1" t="s">
        <v>3</v>
      </c>
    </row>
    <row r="148" spans="1:3" x14ac:dyDescent="0.35">
      <c r="A148" s="1">
        <v>1</v>
      </c>
      <c r="B148" s="1">
        <v>47984</v>
      </c>
      <c r="C148" s="1">
        <v>124.938563</v>
      </c>
    </row>
    <row r="149" spans="1:3" x14ac:dyDescent="0.35">
      <c r="A149" s="1">
        <v>2</v>
      </c>
      <c r="B149" s="1">
        <v>48765</v>
      </c>
      <c r="C149" s="1">
        <v>144.28428500000001</v>
      </c>
    </row>
    <row r="150" spans="1:3" x14ac:dyDescent="0.35">
      <c r="A150" s="1">
        <v>3</v>
      </c>
      <c r="B150" s="1">
        <v>48531</v>
      </c>
      <c r="C150" s="1">
        <v>108.530843</v>
      </c>
    </row>
    <row r="151" spans="1:3" x14ac:dyDescent="0.35">
      <c r="A151" s="1">
        <v>4</v>
      </c>
      <c r="B151" s="1">
        <v>48306</v>
      </c>
      <c r="C151" s="1">
        <v>135.710353</v>
      </c>
    </row>
    <row r="152" spans="1:3" x14ac:dyDescent="0.35">
      <c r="A152" s="1">
        <v>5</v>
      </c>
      <c r="B152" s="1">
        <v>49174</v>
      </c>
      <c r="C152" s="1">
        <v>118.48485700000001</v>
      </c>
    </row>
    <row r="153" spans="1:3" x14ac:dyDescent="0.35">
      <c r="A153" s="1">
        <v>6</v>
      </c>
      <c r="B153" s="1">
        <v>48665</v>
      </c>
      <c r="C153" s="1">
        <v>118.066472</v>
      </c>
    </row>
    <row r="154" spans="1:3" x14ac:dyDescent="0.35">
      <c r="A154" s="1">
        <v>7</v>
      </c>
      <c r="B154" s="1">
        <v>48115</v>
      </c>
      <c r="C154" s="1">
        <v>153.96059399999999</v>
      </c>
    </row>
    <row r="155" spans="1:3" x14ac:dyDescent="0.35">
      <c r="A155" s="1">
        <v>8</v>
      </c>
      <c r="B155" s="1">
        <v>48518</v>
      </c>
      <c r="C155" s="1">
        <v>131.55646200000001</v>
      </c>
    </row>
    <row r="156" spans="1:3" x14ac:dyDescent="0.35">
      <c r="A156" s="1">
        <v>9</v>
      </c>
      <c r="B156" s="1">
        <v>48574</v>
      </c>
      <c r="C156" s="1">
        <v>109.205326</v>
      </c>
    </row>
    <row r="157" spans="1:3" x14ac:dyDescent="0.35">
      <c r="A157" s="1">
        <v>10</v>
      </c>
      <c r="B157" s="1">
        <v>48532</v>
      </c>
      <c r="C157" s="1">
        <v>94.466351000000003</v>
      </c>
    </row>
    <row r="158" spans="1:3" x14ac:dyDescent="0.35">
      <c r="A158" s="1">
        <v>11</v>
      </c>
      <c r="B158" s="1">
        <v>48732</v>
      </c>
      <c r="C158" s="1">
        <v>113.384123</v>
      </c>
    </row>
    <row r="159" spans="1:3" x14ac:dyDescent="0.35">
      <c r="A159" s="1">
        <v>12</v>
      </c>
      <c r="B159" s="1">
        <v>47674</v>
      </c>
      <c r="C159" s="1">
        <v>119.84704000000001</v>
      </c>
    </row>
    <row r="160" spans="1:3" x14ac:dyDescent="0.35">
      <c r="A160" s="1">
        <v>13</v>
      </c>
      <c r="B160" s="1">
        <v>48565</v>
      </c>
      <c r="C160" s="1">
        <v>114.82463</v>
      </c>
    </row>
    <row r="161" spans="1:3" x14ac:dyDescent="0.35">
      <c r="A161" s="1">
        <v>14</v>
      </c>
      <c r="B161" s="1">
        <v>48675</v>
      </c>
      <c r="C161" s="1">
        <v>113.281908</v>
      </c>
    </row>
    <row r="162" spans="1:3" x14ac:dyDescent="0.35">
      <c r="A162" s="1">
        <v>15</v>
      </c>
      <c r="B162" s="1">
        <v>47503</v>
      </c>
      <c r="C162" s="1">
        <v>98.165282000000005</v>
      </c>
    </row>
    <row r="163" spans="1:3" x14ac:dyDescent="0.35">
      <c r="A163" s="1">
        <v>16</v>
      </c>
      <c r="B163" s="1">
        <v>48594</v>
      </c>
      <c r="C163" s="1">
        <v>109.319183</v>
      </c>
    </row>
    <row r="164" spans="1:3" x14ac:dyDescent="0.35">
      <c r="A164" s="1">
        <v>17</v>
      </c>
      <c r="B164" s="1">
        <v>48799</v>
      </c>
      <c r="C164" s="1">
        <v>138.304349</v>
      </c>
    </row>
    <row r="165" spans="1:3" x14ac:dyDescent="0.35">
      <c r="A165" s="1">
        <v>18</v>
      </c>
      <c r="B165" s="1">
        <v>47754</v>
      </c>
      <c r="C165" s="1">
        <v>116.660113</v>
      </c>
    </row>
    <row r="166" spans="1:3" x14ac:dyDescent="0.35">
      <c r="A166" s="1">
        <v>19</v>
      </c>
      <c r="B166" s="1">
        <v>48550</v>
      </c>
      <c r="C166" s="1">
        <v>111.56801299999999</v>
      </c>
    </row>
    <row r="167" spans="1:3" x14ac:dyDescent="0.35">
      <c r="A167" s="1">
        <v>20</v>
      </c>
      <c r="B167" s="1">
        <v>48046</v>
      </c>
      <c r="C167" s="1">
        <v>126.749398</v>
      </c>
    </row>
    <row r="168" spans="1:3" x14ac:dyDescent="0.35">
      <c r="A168" s="1" t="s">
        <v>4</v>
      </c>
      <c r="B168" s="2">
        <f>AVERAGE(B148:B167)</f>
        <v>48402.8</v>
      </c>
      <c r="C168" s="2">
        <f>AVERAGE(C148:C167)</f>
        <v>120.06540725000002</v>
      </c>
    </row>
    <row r="170" spans="1:3" ht="21" x14ac:dyDescent="0.5">
      <c r="A170" s="4" t="s">
        <v>11</v>
      </c>
      <c r="B170" s="4"/>
      <c r="C170" s="4"/>
    </row>
    <row r="171" spans="1:3" x14ac:dyDescent="0.35">
      <c r="A171" s="1" t="s">
        <v>1</v>
      </c>
      <c r="B171" s="1" t="s">
        <v>2</v>
      </c>
      <c r="C171" s="1" t="s">
        <v>3</v>
      </c>
    </row>
    <row r="172" spans="1:3" x14ac:dyDescent="0.35">
      <c r="A172" s="1">
        <v>1</v>
      </c>
      <c r="B172" s="1">
        <v>66050</v>
      </c>
      <c r="C172" s="1">
        <v>232.56186</v>
      </c>
    </row>
    <row r="173" spans="1:3" x14ac:dyDescent="0.35">
      <c r="A173" s="1">
        <v>2</v>
      </c>
      <c r="B173" s="1">
        <v>64751</v>
      </c>
      <c r="C173" s="1">
        <v>216.767292</v>
      </c>
    </row>
    <row r="174" spans="1:3" x14ac:dyDescent="0.35">
      <c r="A174" s="1">
        <v>3</v>
      </c>
      <c r="B174" s="1">
        <v>66946</v>
      </c>
      <c r="C174" s="1">
        <v>163.95721399999999</v>
      </c>
    </row>
    <row r="175" spans="1:3" x14ac:dyDescent="0.35">
      <c r="A175" s="1">
        <v>4</v>
      </c>
      <c r="B175" s="1">
        <v>68023</v>
      </c>
      <c r="C175" s="1">
        <v>167.827764</v>
      </c>
    </row>
    <row r="176" spans="1:3" x14ac:dyDescent="0.35">
      <c r="A176" s="1">
        <v>5</v>
      </c>
      <c r="B176" s="1">
        <v>64970</v>
      </c>
      <c r="C176" s="1">
        <v>184.69232299999999</v>
      </c>
    </row>
    <row r="177" spans="1:3" x14ac:dyDescent="0.35">
      <c r="A177" s="1">
        <v>6</v>
      </c>
      <c r="B177" s="1">
        <v>66442</v>
      </c>
      <c r="C177" s="1">
        <v>174.674162</v>
      </c>
    </row>
    <row r="178" spans="1:3" x14ac:dyDescent="0.35">
      <c r="A178" s="1">
        <v>7</v>
      </c>
      <c r="B178" s="1">
        <v>67282</v>
      </c>
      <c r="C178" s="1">
        <v>166.63124300000001</v>
      </c>
    </row>
    <row r="179" spans="1:3" x14ac:dyDescent="0.35">
      <c r="A179" s="1">
        <v>8</v>
      </c>
      <c r="B179" s="1">
        <v>63599</v>
      </c>
      <c r="C179" s="1">
        <v>172.62301099999999</v>
      </c>
    </row>
    <row r="180" spans="1:3" x14ac:dyDescent="0.35">
      <c r="A180" s="1">
        <v>9</v>
      </c>
      <c r="B180" s="1">
        <v>64283</v>
      </c>
      <c r="C180" s="1">
        <v>173.45127099999999</v>
      </c>
    </row>
    <row r="181" spans="1:3" x14ac:dyDescent="0.35">
      <c r="A181" s="1">
        <v>10</v>
      </c>
      <c r="B181" s="1">
        <v>62434</v>
      </c>
      <c r="C181" s="1">
        <v>174.805091</v>
      </c>
    </row>
    <row r="182" spans="1:3" x14ac:dyDescent="0.35">
      <c r="A182" s="1">
        <v>11</v>
      </c>
      <c r="B182" s="1">
        <v>64078</v>
      </c>
      <c r="C182" s="1">
        <v>168.95616100000001</v>
      </c>
    </row>
    <row r="183" spans="1:3" x14ac:dyDescent="0.35">
      <c r="A183" s="1">
        <v>12</v>
      </c>
      <c r="B183" s="1">
        <v>66469</v>
      </c>
      <c r="C183" s="1">
        <v>177.395657</v>
      </c>
    </row>
    <row r="184" spans="1:3" x14ac:dyDescent="0.35">
      <c r="A184" s="1">
        <v>13</v>
      </c>
      <c r="B184" s="1">
        <v>67907</v>
      </c>
      <c r="C184" s="1">
        <v>163.032264</v>
      </c>
    </row>
    <row r="185" spans="1:3" x14ac:dyDescent="0.35">
      <c r="A185" s="1">
        <v>14</v>
      </c>
      <c r="B185" s="1">
        <v>65807</v>
      </c>
      <c r="C185" s="1">
        <v>167.15742800000001</v>
      </c>
    </row>
    <row r="186" spans="1:3" x14ac:dyDescent="0.35">
      <c r="A186" s="1">
        <v>15</v>
      </c>
      <c r="B186" s="1">
        <v>66830</v>
      </c>
      <c r="C186" s="1">
        <v>158.16128800000001</v>
      </c>
    </row>
    <row r="187" spans="1:3" x14ac:dyDescent="0.35">
      <c r="A187" s="1">
        <v>16</v>
      </c>
      <c r="B187" s="1">
        <v>65416</v>
      </c>
      <c r="C187" s="1">
        <v>176.99536800000001</v>
      </c>
    </row>
    <row r="188" spans="1:3" x14ac:dyDescent="0.35">
      <c r="A188" s="1">
        <v>17</v>
      </c>
      <c r="B188" s="1">
        <v>66216</v>
      </c>
      <c r="C188" s="1">
        <v>189.01500899999999</v>
      </c>
    </row>
    <row r="189" spans="1:3" x14ac:dyDescent="0.35">
      <c r="A189" s="1">
        <v>18</v>
      </c>
      <c r="B189" s="1">
        <v>65229</v>
      </c>
      <c r="C189" s="1">
        <v>184.50384199999999</v>
      </c>
    </row>
    <row r="190" spans="1:3" x14ac:dyDescent="0.35">
      <c r="A190" s="1">
        <v>19</v>
      </c>
      <c r="B190" s="1">
        <v>67194</v>
      </c>
      <c r="C190" s="1">
        <v>194.85203999999999</v>
      </c>
    </row>
    <row r="191" spans="1:3" x14ac:dyDescent="0.35">
      <c r="A191" s="1">
        <v>20</v>
      </c>
      <c r="B191" s="1">
        <v>68560</v>
      </c>
      <c r="C191" s="1">
        <v>177.28643600000001</v>
      </c>
    </row>
    <row r="192" spans="1:3" x14ac:dyDescent="0.35">
      <c r="A192" s="1" t="s">
        <v>4</v>
      </c>
      <c r="B192" s="2">
        <f>AVERAGE(B172:B191)</f>
        <v>65924.3</v>
      </c>
      <c r="C192" s="2">
        <f>AVERAGE(C172:C191)</f>
        <v>179.26733619999999</v>
      </c>
    </row>
    <row r="194" spans="1:3" ht="21" x14ac:dyDescent="0.5">
      <c r="A194" s="4" t="s">
        <v>12</v>
      </c>
      <c r="B194" s="4"/>
      <c r="C194" s="4"/>
    </row>
    <row r="195" spans="1:3" x14ac:dyDescent="0.35">
      <c r="A195" s="1" t="s">
        <v>1</v>
      </c>
      <c r="B195" s="1" t="s">
        <v>2</v>
      </c>
      <c r="C195" s="1" t="s">
        <v>3</v>
      </c>
    </row>
    <row r="196" spans="1:3" x14ac:dyDescent="0.35">
      <c r="A196" s="1">
        <v>1</v>
      </c>
      <c r="B196" s="1">
        <v>139993</v>
      </c>
      <c r="C196" s="1">
        <v>198.26966200000001</v>
      </c>
    </row>
    <row r="197" spans="1:3" x14ac:dyDescent="0.35">
      <c r="A197" s="1">
        <v>2</v>
      </c>
      <c r="B197" s="1">
        <v>143104</v>
      </c>
      <c r="C197" s="1">
        <v>182.73641599999999</v>
      </c>
    </row>
    <row r="198" spans="1:3" x14ac:dyDescent="0.35">
      <c r="A198" s="1">
        <v>3</v>
      </c>
      <c r="B198" s="1">
        <v>140111</v>
      </c>
      <c r="C198" s="1">
        <v>216.18691999999999</v>
      </c>
    </row>
    <row r="199" spans="1:3" x14ac:dyDescent="0.35">
      <c r="A199" s="1">
        <v>4</v>
      </c>
      <c r="B199" s="1">
        <v>142054</v>
      </c>
      <c r="C199" s="1">
        <v>181.32345100000001</v>
      </c>
    </row>
    <row r="200" spans="1:3" x14ac:dyDescent="0.35">
      <c r="A200" s="1">
        <v>5</v>
      </c>
      <c r="B200" s="1">
        <v>141304</v>
      </c>
      <c r="C200" s="1">
        <v>240.814198</v>
      </c>
    </row>
    <row r="201" spans="1:3" x14ac:dyDescent="0.35">
      <c r="A201" s="1">
        <v>6</v>
      </c>
      <c r="B201" s="1">
        <v>136995</v>
      </c>
      <c r="C201" s="1">
        <v>205.84311400000001</v>
      </c>
    </row>
    <row r="202" spans="1:3" x14ac:dyDescent="0.35">
      <c r="A202" s="1">
        <v>7</v>
      </c>
      <c r="B202" s="1">
        <v>141231</v>
      </c>
      <c r="C202" s="1">
        <v>174.243852</v>
      </c>
    </row>
    <row r="203" spans="1:3" x14ac:dyDescent="0.35">
      <c r="A203" s="1">
        <v>8</v>
      </c>
      <c r="B203" s="1">
        <v>139689</v>
      </c>
      <c r="C203" s="1">
        <v>206.69774799999999</v>
      </c>
    </row>
    <row r="204" spans="1:3" x14ac:dyDescent="0.35">
      <c r="A204" s="1">
        <v>9</v>
      </c>
      <c r="B204" s="1">
        <v>137390</v>
      </c>
      <c r="C204" s="1">
        <v>266.26733200000001</v>
      </c>
    </row>
    <row r="205" spans="1:3" x14ac:dyDescent="0.35">
      <c r="A205" s="1">
        <v>10</v>
      </c>
      <c r="B205" s="1">
        <v>144657</v>
      </c>
      <c r="C205" s="1">
        <v>179.92828499999999</v>
      </c>
    </row>
    <row r="206" spans="1:3" x14ac:dyDescent="0.35">
      <c r="A206" s="1">
        <v>11</v>
      </c>
      <c r="B206" s="1">
        <v>138081</v>
      </c>
      <c r="C206" s="1">
        <v>187.074724</v>
      </c>
    </row>
    <row r="207" spans="1:3" x14ac:dyDescent="0.35">
      <c r="A207" s="1">
        <v>12</v>
      </c>
      <c r="B207" s="1">
        <v>138809</v>
      </c>
      <c r="C207" s="1">
        <v>295.37890700000003</v>
      </c>
    </row>
    <row r="208" spans="1:3" x14ac:dyDescent="0.35">
      <c r="A208" s="1">
        <v>13</v>
      </c>
      <c r="B208" s="1">
        <v>142310</v>
      </c>
      <c r="C208" s="1">
        <v>190.60218499999999</v>
      </c>
    </row>
    <row r="209" spans="1:3" x14ac:dyDescent="0.35">
      <c r="A209" s="1">
        <v>14</v>
      </c>
      <c r="B209" s="1">
        <v>142852</v>
      </c>
      <c r="C209" s="1">
        <v>207.632915</v>
      </c>
    </row>
    <row r="210" spans="1:3" x14ac:dyDescent="0.35">
      <c r="A210" s="1">
        <v>15</v>
      </c>
      <c r="B210" s="1">
        <v>143454</v>
      </c>
      <c r="C210" s="1">
        <v>204.79272</v>
      </c>
    </row>
    <row r="211" spans="1:3" x14ac:dyDescent="0.35">
      <c r="A211" s="1">
        <v>16</v>
      </c>
      <c r="B211" s="1">
        <v>141029</v>
      </c>
      <c r="C211" s="1">
        <v>209.81555299999999</v>
      </c>
    </row>
    <row r="212" spans="1:3" x14ac:dyDescent="0.35">
      <c r="A212" s="1">
        <v>17</v>
      </c>
      <c r="B212" s="1">
        <v>140427</v>
      </c>
      <c r="C212" s="1">
        <v>290.89367900000002</v>
      </c>
    </row>
    <row r="213" spans="1:3" x14ac:dyDescent="0.35">
      <c r="A213" s="1">
        <v>18</v>
      </c>
      <c r="B213" s="1">
        <v>140466</v>
      </c>
      <c r="C213" s="1">
        <v>221.93187499999999</v>
      </c>
    </row>
    <row r="214" spans="1:3" x14ac:dyDescent="0.35">
      <c r="A214" s="1">
        <v>19</v>
      </c>
      <c r="B214" s="1">
        <v>136938</v>
      </c>
      <c r="C214" s="1">
        <v>354.82925399999999</v>
      </c>
    </row>
    <row r="215" spans="1:3" x14ac:dyDescent="0.35">
      <c r="A215" s="1">
        <v>20</v>
      </c>
      <c r="B215" s="1">
        <v>138604</v>
      </c>
      <c r="C215" s="1">
        <v>251.16269600000001</v>
      </c>
    </row>
    <row r="216" spans="1:3" x14ac:dyDescent="0.35">
      <c r="A216" s="1" t="s">
        <v>4</v>
      </c>
      <c r="B216" s="2">
        <f>AVERAGE(B196:B215)</f>
        <v>140474.9</v>
      </c>
      <c r="C216" s="2">
        <f>AVERAGE(C196:C215)</f>
        <v>223.32127430000006</v>
      </c>
    </row>
    <row r="218" spans="1:3" ht="21" x14ac:dyDescent="0.5">
      <c r="A218" s="4" t="s">
        <v>13</v>
      </c>
      <c r="B218" s="4"/>
      <c r="C218" s="4"/>
    </row>
    <row r="219" spans="1:3" x14ac:dyDescent="0.35">
      <c r="A219" s="1" t="s">
        <v>1</v>
      </c>
      <c r="B219" s="1" t="s">
        <v>2</v>
      </c>
      <c r="C219" s="1" t="s">
        <v>3</v>
      </c>
    </row>
    <row r="220" spans="1:3" x14ac:dyDescent="0.35">
      <c r="A220" s="1">
        <v>1</v>
      </c>
      <c r="B220" s="1">
        <v>7357</v>
      </c>
      <c r="C220" s="1">
        <v>223.334991</v>
      </c>
    </row>
    <row r="221" spans="1:3" x14ac:dyDescent="0.35">
      <c r="A221" s="1">
        <v>2</v>
      </c>
      <c r="B221" s="1">
        <v>7397</v>
      </c>
      <c r="C221" s="1">
        <v>199.683862</v>
      </c>
    </row>
    <row r="222" spans="1:3" x14ac:dyDescent="0.35">
      <c r="A222" s="1">
        <v>3</v>
      </c>
      <c r="B222" s="1">
        <v>7211</v>
      </c>
      <c r="C222" s="1">
        <v>194.82822100000001</v>
      </c>
    </row>
    <row r="223" spans="1:3" x14ac:dyDescent="0.35">
      <c r="A223" s="1">
        <v>4</v>
      </c>
      <c r="B223" s="1">
        <v>7324</v>
      </c>
      <c r="C223" s="1">
        <v>246.527029</v>
      </c>
    </row>
    <row r="224" spans="1:3" x14ac:dyDescent="0.35">
      <c r="A224" s="1">
        <v>5</v>
      </c>
      <c r="B224" s="1">
        <v>7570</v>
      </c>
      <c r="C224" s="1">
        <v>244.38876200000001</v>
      </c>
    </row>
    <row r="225" spans="1:3" x14ac:dyDescent="0.35">
      <c r="A225" s="1">
        <v>6</v>
      </c>
      <c r="B225" s="1">
        <v>7383</v>
      </c>
      <c r="C225" s="1">
        <v>279.89524</v>
      </c>
    </row>
    <row r="226" spans="1:3" x14ac:dyDescent="0.35">
      <c r="A226" s="1">
        <v>7</v>
      </c>
      <c r="B226" s="1">
        <v>7320</v>
      </c>
      <c r="C226" s="1">
        <v>274.38469500000002</v>
      </c>
    </row>
    <row r="227" spans="1:3" x14ac:dyDescent="0.35">
      <c r="A227" s="1">
        <v>8</v>
      </c>
      <c r="B227" s="1">
        <v>6999</v>
      </c>
      <c r="C227" s="1">
        <v>235.002442</v>
      </c>
    </row>
    <row r="228" spans="1:3" x14ac:dyDescent="0.35">
      <c r="A228" s="1">
        <v>9</v>
      </c>
      <c r="B228" s="1">
        <v>7340</v>
      </c>
      <c r="C228" s="1">
        <v>218.61899700000001</v>
      </c>
    </row>
    <row r="229" spans="1:3" x14ac:dyDescent="0.35">
      <c r="A229" s="1">
        <v>10</v>
      </c>
      <c r="B229" s="1">
        <v>7337</v>
      </c>
      <c r="C229" s="1">
        <v>203.68450799999999</v>
      </c>
    </row>
    <row r="230" spans="1:3" x14ac:dyDescent="0.35">
      <c r="A230" s="1">
        <v>11</v>
      </c>
      <c r="B230" s="1">
        <v>7424</v>
      </c>
      <c r="C230" s="1">
        <v>266.44857500000001</v>
      </c>
    </row>
    <row r="231" spans="1:3" x14ac:dyDescent="0.35">
      <c r="A231" s="1">
        <v>12</v>
      </c>
      <c r="B231" s="1">
        <v>7339</v>
      </c>
      <c r="C231" s="1">
        <v>204.19477000000001</v>
      </c>
    </row>
    <row r="232" spans="1:3" x14ac:dyDescent="0.35">
      <c r="A232" s="1">
        <v>13</v>
      </c>
      <c r="B232" s="1">
        <v>7427</v>
      </c>
      <c r="C232" s="1">
        <v>197.69783899999999</v>
      </c>
    </row>
    <row r="233" spans="1:3" x14ac:dyDescent="0.35">
      <c r="A233" s="1">
        <v>14</v>
      </c>
      <c r="B233" s="1">
        <v>7328</v>
      </c>
      <c r="C233" s="1">
        <v>257.05608599999999</v>
      </c>
    </row>
    <row r="234" spans="1:3" x14ac:dyDescent="0.35">
      <c r="A234" s="1">
        <v>15</v>
      </c>
      <c r="B234" s="1">
        <v>7485</v>
      </c>
      <c r="C234" s="1">
        <v>205.73219800000001</v>
      </c>
    </row>
    <row r="235" spans="1:3" x14ac:dyDescent="0.35">
      <c r="A235" s="1">
        <v>16</v>
      </c>
      <c r="B235" s="1">
        <v>7344</v>
      </c>
      <c r="C235" s="1">
        <v>201.33860200000001</v>
      </c>
    </row>
    <row r="236" spans="1:3" x14ac:dyDescent="0.35">
      <c r="A236" s="1">
        <v>17</v>
      </c>
      <c r="B236" s="1">
        <v>7287</v>
      </c>
      <c r="C236" s="1">
        <v>197.30032199999999</v>
      </c>
    </row>
    <row r="237" spans="1:3" x14ac:dyDescent="0.35">
      <c r="A237" s="1">
        <v>18</v>
      </c>
      <c r="B237" s="1">
        <v>7398</v>
      </c>
      <c r="C237" s="1">
        <v>238.55575400000001</v>
      </c>
    </row>
    <row r="238" spans="1:3" x14ac:dyDescent="0.35">
      <c r="A238" s="1">
        <v>19</v>
      </c>
      <c r="B238" s="1">
        <v>7392</v>
      </c>
      <c r="C238" s="1">
        <v>241.67984100000001</v>
      </c>
    </row>
    <row r="239" spans="1:3" x14ac:dyDescent="0.35">
      <c r="A239" s="1">
        <v>20</v>
      </c>
      <c r="B239" s="1">
        <v>7145</v>
      </c>
      <c r="C239" s="1">
        <v>203.50894400000001</v>
      </c>
    </row>
    <row r="240" spans="1:3" x14ac:dyDescent="0.35">
      <c r="A240" s="1" t="s">
        <v>4</v>
      </c>
      <c r="B240" s="2">
        <f>AVERAGE(B220:B239)</f>
        <v>7340.35</v>
      </c>
      <c r="C240" s="2">
        <f>AVERAGE(C220:C239)</f>
        <v>226.69308389999998</v>
      </c>
    </row>
    <row r="242" spans="1:3" ht="21" x14ac:dyDescent="0.5">
      <c r="A242" s="4" t="s">
        <v>14</v>
      </c>
      <c r="B242" s="4"/>
      <c r="C242" s="4"/>
    </row>
    <row r="243" spans="1:3" x14ac:dyDescent="0.35">
      <c r="A243" s="1" t="s">
        <v>1</v>
      </c>
      <c r="B243" s="1" t="s">
        <v>2</v>
      </c>
      <c r="C243" s="1" t="s">
        <v>3</v>
      </c>
    </row>
    <row r="244" spans="1:3" x14ac:dyDescent="0.35">
      <c r="A244" s="1">
        <v>1</v>
      </c>
      <c r="B244" s="1">
        <v>64546</v>
      </c>
      <c r="C244" s="1">
        <v>521.63840600000003</v>
      </c>
    </row>
    <row r="245" spans="1:3" x14ac:dyDescent="0.35">
      <c r="A245" s="1">
        <v>2</v>
      </c>
      <c r="B245" s="1">
        <v>63282</v>
      </c>
      <c r="C245" s="1">
        <v>390.01664699999998</v>
      </c>
    </row>
    <row r="246" spans="1:3" x14ac:dyDescent="0.35">
      <c r="A246" s="1">
        <v>3</v>
      </c>
      <c r="B246" s="1">
        <v>63602</v>
      </c>
      <c r="C246" s="1">
        <v>287.977532</v>
      </c>
    </row>
    <row r="247" spans="1:3" x14ac:dyDescent="0.35">
      <c r="A247" s="1">
        <v>4</v>
      </c>
      <c r="B247" s="1">
        <v>64294</v>
      </c>
      <c r="C247" s="1">
        <v>561.31389300000001</v>
      </c>
    </row>
    <row r="248" spans="1:3" x14ac:dyDescent="0.35">
      <c r="A248" s="1">
        <v>5</v>
      </c>
      <c r="B248" s="1">
        <v>64541</v>
      </c>
      <c r="C248" s="1">
        <v>369.86304100000001</v>
      </c>
    </row>
    <row r="249" spans="1:3" x14ac:dyDescent="0.35">
      <c r="A249" s="1">
        <v>6</v>
      </c>
      <c r="B249" s="1">
        <v>63589</v>
      </c>
      <c r="C249" s="1">
        <v>427.28164299999997</v>
      </c>
    </row>
    <row r="250" spans="1:3" x14ac:dyDescent="0.35">
      <c r="A250" s="1">
        <v>7</v>
      </c>
      <c r="B250" s="1">
        <v>63841</v>
      </c>
      <c r="C250" s="1">
        <v>412.54906299999999</v>
      </c>
    </row>
    <row r="251" spans="1:3" x14ac:dyDescent="0.35">
      <c r="A251" s="1">
        <v>8</v>
      </c>
      <c r="B251" s="1">
        <v>64087</v>
      </c>
      <c r="C251" s="1">
        <v>413.89901900000001</v>
      </c>
    </row>
    <row r="252" spans="1:3" x14ac:dyDescent="0.35">
      <c r="A252" s="1">
        <v>9</v>
      </c>
      <c r="B252" s="1">
        <v>64494</v>
      </c>
      <c r="C252" s="1">
        <v>275.73311699999999</v>
      </c>
    </row>
    <row r="253" spans="1:3" x14ac:dyDescent="0.35">
      <c r="A253" s="1">
        <v>10</v>
      </c>
      <c r="B253" s="1">
        <v>64452</v>
      </c>
      <c r="C253" s="1">
        <v>349.41097400000001</v>
      </c>
    </row>
    <row r="254" spans="1:3" x14ac:dyDescent="0.35">
      <c r="A254" s="1">
        <v>11</v>
      </c>
      <c r="B254" s="1">
        <v>63206</v>
      </c>
      <c r="C254" s="1">
        <v>291.45853099999999</v>
      </c>
    </row>
    <row r="255" spans="1:3" x14ac:dyDescent="0.35">
      <c r="A255" s="1">
        <v>12</v>
      </c>
      <c r="B255" s="1">
        <v>63703</v>
      </c>
      <c r="C255" s="1">
        <v>544.58462399999996</v>
      </c>
    </row>
    <row r="256" spans="1:3" x14ac:dyDescent="0.35">
      <c r="A256" s="1">
        <v>13</v>
      </c>
      <c r="B256" s="1">
        <v>62594</v>
      </c>
      <c r="C256" s="1">
        <v>289.32781299999999</v>
      </c>
    </row>
    <row r="257" spans="1:3" x14ac:dyDescent="0.35">
      <c r="A257" s="1">
        <v>14</v>
      </c>
      <c r="B257" s="1">
        <v>64403</v>
      </c>
      <c r="C257" s="1">
        <v>282.429709</v>
      </c>
    </row>
    <row r="258" spans="1:3" x14ac:dyDescent="0.35">
      <c r="A258" s="1">
        <v>15</v>
      </c>
      <c r="B258" s="1">
        <v>63862</v>
      </c>
      <c r="C258" s="1">
        <v>400.23607900000002</v>
      </c>
    </row>
    <row r="259" spans="1:3" x14ac:dyDescent="0.35">
      <c r="A259" s="1">
        <v>16</v>
      </c>
      <c r="B259" s="1">
        <v>64664</v>
      </c>
      <c r="C259" s="1">
        <v>286.34116399999999</v>
      </c>
    </row>
    <row r="260" spans="1:3" x14ac:dyDescent="0.35">
      <c r="A260" s="1">
        <v>17</v>
      </c>
      <c r="B260" s="1">
        <v>62739</v>
      </c>
      <c r="C260" s="1">
        <v>414.22097600000001</v>
      </c>
    </row>
    <row r="261" spans="1:3" x14ac:dyDescent="0.35">
      <c r="A261" s="1">
        <v>18</v>
      </c>
      <c r="B261" s="1">
        <v>63809</v>
      </c>
      <c r="C261" s="1">
        <v>467.54664700000001</v>
      </c>
    </row>
    <row r="262" spans="1:3" x14ac:dyDescent="0.35">
      <c r="A262" s="1">
        <v>19</v>
      </c>
      <c r="B262" s="1">
        <v>63301</v>
      </c>
      <c r="C262" s="1">
        <v>455.30700300000001</v>
      </c>
    </row>
    <row r="263" spans="1:3" x14ac:dyDescent="0.35">
      <c r="A263" s="1">
        <v>20</v>
      </c>
      <c r="B263" s="1">
        <v>64228</v>
      </c>
      <c r="C263" s="1">
        <v>294.44950299999999</v>
      </c>
    </row>
    <row r="264" spans="1:3" x14ac:dyDescent="0.35">
      <c r="A264" s="1" t="s">
        <v>4</v>
      </c>
      <c r="B264" s="2">
        <f>AVERAGE(B244:B263)</f>
        <v>63861.85</v>
      </c>
      <c r="C264" s="2">
        <f>AVERAGE(C244:C263)</f>
        <v>386.77926919999993</v>
      </c>
    </row>
    <row r="266" spans="1:3" ht="21" x14ac:dyDescent="0.5">
      <c r="A266" s="4" t="s">
        <v>15</v>
      </c>
      <c r="B266" s="4"/>
      <c r="C266" s="4"/>
    </row>
    <row r="267" spans="1:3" x14ac:dyDescent="0.35">
      <c r="A267" s="1" t="s">
        <v>1</v>
      </c>
      <c r="B267" s="1" t="s">
        <v>2</v>
      </c>
      <c r="C267" s="1" t="s">
        <v>3</v>
      </c>
    </row>
    <row r="268" spans="1:3" x14ac:dyDescent="0.35">
      <c r="A268" s="1">
        <v>1</v>
      </c>
      <c r="B268" s="1">
        <v>7989</v>
      </c>
      <c r="C268" s="1">
        <v>340.07209599999999</v>
      </c>
    </row>
    <row r="269" spans="1:3" x14ac:dyDescent="0.35">
      <c r="A269" s="1">
        <v>2</v>
      </c>
      <c r="B269" s="1">
        <v>8078</v>
      </c>
      <c r="C269" s="1">
        <v>370.96585399999998</v>
      </c>
    </row>
    <row r="270" spans="1:3" x14ac:dyDescent="0.35">
      <c r="A270" s="1">
        <v>3</v>
      </c>
      <c r="B270" s="1">
        <v>7664</v>
      </c>
      <c r="C270" s="1">
        <v>357.74061499999999</v>
      </c>
    </row>
    <row r="271" spans="1:3" x14ac:dyDescent="0.35">
      <c r="A271" s="1">
        <v>4</v>
      </c>
      <c r="B271" s="1">
        <v>7477</v>
      </c>
      <c r="C271" s="1">
        <v>347.53187800000001</v>
      </c>
    </row>
    <row r="272" spans="1:3" x14ac:dyDescent="0.35">
      <c r="A272" s="1">
        <v>5</v>
      </c>
      <c r="B272" s="1">
        <v>8000</v>
      </c>
      <c r="C272" s="1">
        <v>352.82631700000002</v>
      </c>
    </row>
    <row r="273" spans="1:3" x14ac:dyDescent="0.35">
      <c r="A273" s="1">
        <v>6</v>
      </c>
      <c r="B273" s="1">
        <v>7985</v>
      </c>
      <c r="C273" s="1">
        <v>362.89043700000002</v>
      </c>
    </row>
    <row r="274" spans="1:3" x14ac:dyDescent="0.35">
      <c r="A274" s="1">
        <v>7</v>
      </c>
      <c r="B274" s="1">
        <v>7676</v>
      </c>
      <c r="C274" s="1">
        <v>327.47255000000001</v>
      </c>
    </row>
    <row r="275" spans="1:3" x14ac:dyDescent="0.35">
      <c r="A275" s="1">
        <v>8</v>
      </c>
      <c r="B275" s="1">
        <v>8142</v>
      </c>
      <c r="C275" s="1">
        <v>349.936058</v>
      </c>
    </row>
    <row r="276" spans="1:3" x14ac:dyDescent="0.35">
      <c r="A276" s="1">
        <v>9</v>
      </c>
      <c r="B276" s="1">
        <v>8027</v>
      </c>
      <c r="C276" s="1">
        <v>359.11904299999998</v>
      </c>
    </row>
    <row r="277" spans="1:3" x14ac:dyDescent="0.35">
      <c r="A277" s="1">
        <v>10</v>
      </c>
      <c r="B277" s="1">
        <v>7969</v>
      </c>
      <c r="C277" s="1">
        <v>343.31180599999999</v>
      </c>
    </row>
    <row r="278" spans="1:3" x14ac:dyDescent="0.35">
      <c r="A278" s="1">
        <v>11</v>
      </c>
      <c r="B278" s="1">
        <v>8056</v>
      </c>
      <c r="C278" s="1">
        <v>368.36599799999999</v>
      </c>
    </row>
    <row r="279" spans="1:3" x14ac:dyDescent="0.35">
      <c r="A279" s="1">
        <v>12</v>
      </c>
      <c r="B279" s="1">
        <v>7751</v>
      </c>
      <c r="C279" s="1">
        <v>393.065203</v>
      </c>
    </row>
    <row r="280" spans="1:3" x14ac:dyDescent="0.35">
      <c r="A280" s="1">
        <v>13</v>
      </c>
      <c r="B280" s="1">
        <v>8042</v>
      </c>
      <c r="C280" s="1">
        <v>328.241311</v>
      </c>
    </row>
    <row r="281" spans="1:3" x14ac:dyDescent="0.35">
      <c r="A281" s="1">
        <v>14</v>
      </c>
      <c r="B281" s="1">
        <v>7300</v>
      </c>
      <c r="C281" s="1">
        <v>346.15677699999998</v>
      </c>
    </row>
    <row r="282" spans="1:3" x14ac:dyDescent="0.35">
      <c r="A282" s="1">
        <v>15</v>
      </c>
      <c r="B282" s="1">
        <v>7592</v>
      </c>
      <c r="C282" s="1">
        <v>346.295995</v>
      </c>
    </row>
    <row r="283" spans="1:3" x14ac:dyDescent="0.35">
      <c r="A283" s="1">
        <v>16</v>
      </c>
      <c r="B283" s="1">
        <v>8105</v>
      </c>
      <c r="C283" s="1">
        <v>367.89292899999998</v>
      </c>
    </row>
    <row r="284" spans="1:3" x14ac:dyDescent="0.35">
      <c r="A284" s="1">
        <v>17</v>
      </c>
      <c r="B284" s="1">
        <v>7912</v>
      </c>
      <c r="C284" s="1">
        <v>371.24715700000002</v>
      </c>
    </row>
    <row r="285" spans="1:3" x14ac:dyDescent="0.35">
      <c r="A285" s="1">
        <v>18</v>
      </c>
      <c r="B285" s="1">
        <v>7890</v>
      </c>
      <c r="C285" s="1">
        <v>384.79145</v>
      </c>
    </row>
    <row r="286" spans="1:3" x14ac:dyDescent="0.35">
      <c r="A286" s="1">
        <v>19</v>
      </c>
      <c r="B286" s="1">
        <v>8084</v>
      </c>
      <c r="C286" s="1">
        <v>434.88965999999999</v>
      </c>
    </row>
    <row r="287" spans="1:3" x14ac:dyDescent="0.35">
      <c r="A287" s="1">
        <v>20</v>
      </c>
      <c r="B287" s="1">
        <v>7735</v>
      </c>
      <c r="C287" s="1">
        <v>512.77816299999995</v>
      </c>
    </row>
    <row r="288" spans="1:3" x14ac:dyDescent="0.35">
      <c r="A288" s="1" t="s">
        <v>4</v>
      </c>
      <c r="B288" s="2">
        <f>AVERAGE(B268:B287)</f>
        <v>7873.7</v>
      </c>
      <c r="C288" s="2">
        <f>AVERAGE(C268:C287)</f>
        <v>368.27956484999999</v>
      </c>
    </row>
    <row r="290" spans="1:3" ht="21" x14ac:dyDescent="0.5">
      <c r="A290" s="4" t="s">
        <v>16</v>
      </c>
      <c r="B290" s="4"/>
      <c r="C290" s="4"/>
    </row>
    <row r="291" spans="1:3" x14ac:dyDescent="0.35">
      <c r="A291" s="1" t="s">
        <v>1</v>
      </c>
      <c r="B291" s="1" t="s">
        <v>2</v>
      </c>
      <c r="C291" s="1" t="s">
        <v>3</v>
      </c>
    </row>
    <row r="292" spans="1:3" x14ac:dyDescent="0.35">
      <c r="A292" s="1">
        <v>1</v>
      </c>
      <c r="B292" s="1">
        <v>84918</v>
      </c>
      <c r="C292" s="1">
        <v>359.57561299999998</v>
      </c>
    </row>
    <row r="293" spans="1:3" x14ac:dyDescent="0.35">
      <c r="A293" s="1">
        <v>2</v>
      </c>
      <c r="B293" s="1">
        <v>87421</v>
      </c>
      <c r="C293" s="1">
        <v>389.09618</v>
      </c>
    </row>
    <row r="294" spans="1:3" x14ac:dyDescent="0.35">
      <c r="A294" s="1">
        <v>3</v>
      </c>
      <c r="B294" s="1">
        <v>85627</v>
      </c>
      <c r="C294" s="1">
        <v>363.33318400000002</v>
      </c>
    </row>
    <row r="295" spans="1:3" x14ac:dyDescent="0.35">
      <c r="A295" s="1">
        <v>4</v>
      </c>
      <c r="B295" s="1">
        <v>84719</v>
      </c>
      <c r="C295" s="1">
        <v>580.83282799999995</v>
      </c>
    </row>
    <row r="296" spans="1:3" x14ac:dyDescent="0.35">
      <c r="A296" s="1">
        <v>5</v>
      </c>
      <c r="B296" s="1">
        <v>83998</v>
      </c>
      <c r="C296" s="1">
        <v>368.65398299999998</v>
      </c>
    </row>
    <row r="297" spans="1:3" x14ac:dyDescent="0.35">
      <c r="A297" s="1">
        <v>6</v>
      </c>
      <c r="B297" s="1">
        <v>86551</v>
      </c>
      <c r="C297" s="1">
        <v>361.25294300000002</v>
      </c>
    </row>
    <row r="298" spans="1:3" x14ac:dyDescent="0.35">
      <c r="A298" s="1">
        <v>7</v>
      </c>
      <c r="B298" s="1">
        <v>87426</v>
      </c>
      <c r="C298" s="1">
        <v>350.93569500000001</v>
      </c>
    </row>
    <row r="299" spans="1:3" x14ac:dyDescent="0.35">
      <c r="A299" s="1">
        <v>8</v>
      </c>
      <c r="B299" s="1">
        <v>84777</v>
      </c>
      <c r="C299" s="1">
        <v>342.79625299999998</v>
      </c>
    </row>
    <row r="300" spans="1:3" x14ac:dyDescent="0.35">
      <c r="A300" s="1">
        <v>9</v>
      </c>
      <c r="B300" s="1">
        <v>84413</v>
      </c>
      <c r="C300" s="1">
        <v>351.11709500000001</v>
      </c>
    </row>
    <row r="301" spans="1:3" x14ac:dyDescent="0.35">
      <c r="A301" s="1">
        <v>10</v>
      </c>
      <c r="B301" s="1">
        <v>85561</v>
      </c>
      <c r="C301" s="1">
        <v>464.312546</v>
      </c>
    </row>
    <row r="302" spans="1:3" x14ac:dyDescent="0.35">
      <c r="A302" s="1">
        <v>11</v>
      </c>
      <c r="B302" s="1">
        <v>85364</v>
      </c>
      <c r="C302" s="1">
        <v>488.97411499999998</v>
      </c>
    </row>
    <row r="303" spans="1:3" x14ac:dyDescent="0.35">
      <c r="A303" s="1">
        <v>12</v>
      </c>
      <c r="B303" s="1">
        <v>86290</v>
      </c>
      <c r="C303" s="1">
        <v>346.47218600000002</v>
      </c>
    </row>
    <row r="304" spans="1:3" x14ac:dyDescent="0.35">
      <c r="A304" s="1">
        <v>13</v>
      </c>
      <c r="B304" s="1">
        <v>85995</v>
      </c>
      <c r="C304" s="1">
        <v>371.94471900000002</v>
      </c>
    </row>
    <row r="305" spans="1:3" x14ac:dyDescent="0.35">
      <c r="A305" s="1">
        <v>14</v>
      </c>
      <c r="B305" s="1">
        <v>86293</v>
      </c>
      <c r="C305" s="1">
        <v>381.71171399999997</v>
      </c>
    </row>
    <row r="306" spans="1:3" x14ac:dyDescent="0.35">
      <c r="A306" s="1">
        <v>15</v>
      </c>
      <c r="B306" s="1">
        <v>85221</v>
      </c>
      <c r="C306" s="1">
        <v>348.41451499999999</v>
      </c>
    </row>
    <row r="307" spans="1:3" x14ac:dyDescent="0.35">
      <c r="A307" s="1">
        <v>16</v>
      </c>
      <c r="B307" s="1">
        <v>87303</v>
      </c>
      <c r="C307" s="1">
        <v>361.74809299999998</v>
      </c>
    </row>
    <row r="308" spans="1:3" x14ac:dyDescent="0.35">
      <c r="A308" s="1">
        <v>17</v>
      </c>
      <c r="B308" s="1">
        <v>85715</v>
      </c>
      <c r="C308" s="1">
        <v>419.11040700000001</v>
      </c>
    </row>
    <row r="309" spans="1:3" x14ac:dyDescent="0.35">
      <c r="A309" s="1">
        <v>18</v>
      </c>
      <c r="B309" s="1">
        <v>85733</v>
      </c>
      <c r="C309" s="1">
        <v>359.11736999999999</v>
      </c>
    </row>
    <row r="310" spans="1:3" x14ac:dyDescent="0.35">
      <c r="A310" s="1">
        <v>19</v>
      </c>
      <c r="B310" s="1">
        <v>85966</v>
      </c>
      <c r="C310" s="1">
        <v>358.32133599999997</v>
      </c>
    </row>
    <row r="311" spans="1:3" x14ac:dyDescent="0.35">
      <c r="A311" s="1">
        <v>20</v>
      </c>
      <c r="B311" s="1">
        <v>82949</v>
      </c>
      <c r="C311" s="1">
        <v>359.26610799999997</v>
      </c>
    </row>
    <row r="312" spans="1:3" x14ac:dyDescent="0.35">
      <c r="A312" s="1" t="s">
        <v>4</v>
      </c>
      <c r="B312" s="2">
        <f>AVERAGE(B292:B311)</f>
        <v>85612</v>
      </c>
      <c r="C312" s="2">
        <f>AVERAGE(C292:C311)</f>
        <v>386.34934415000009</v>
      </c>
    </row>
    <row r="314" spans="1:3" ht="21" x14ac:dyDescent="0.5">
      <c r="A314" s="4" t="s">
        <v>17</v>
      </c>
      <c r="B314" s="4"/>
      <c r="C314" s="4"/>
    </row>
    <row r="315" spans="1:3" x14ac:dyDescent="0.35">
      <c r="A315" s="1" t="s">
        <v>1</v>
      </c>
      <c r="B315" s="1" t="s">
        <v>2</v>
      </c>
      <c r="C315" s="1" t="s">
        <v>3</v>
      </c>
    </row>
    <row r="316" spans="1:3" x14ac:dyDescent="0.35">
      <c r="A316" s="1">
        <v>1</v>
      </c>
      <c r="B316" s="1">
        <v>100484</v>
      </c>
      <c r="C316" s="1">
        <v>1780.886706</v>
      </c>
    </row>
    <row r="317" spans="1:3" x14ac:dyDescent="0.35">
      <c r="A317" s="1">
        <v>2</v>
      </c>
      <c r="B317" s="1">
        <v>97594</v>
      </c>
      <c r="C317" s="1">
        <v>2013.243434</v>
      </c>
    </row>
    <row r="318" spans="1:3" x14ac:dyDescent="0.35">
      <c r="A318" s="1">
        <v>3</v>
      </c>
      <c r="B318" s="1">
        <v>96874</v>
      </c>
      <c r="C318" s="1">
        <v>1447.4708430000001</v>
      </c>
    </row>
    <row r="319" spans="1:3" x14ac:dyDescent="0.35">
      <c r="A319" s="1">
        <v>4</v>
      </c>
      <c r="B319" s="1">
        <v>99572</v>
      </c>
      <c r="C319" s="1">
        <v>1486.119224</v>
      </c>
    </row>
    <row r="320" spans="1:3" x14ac:dyDescent="0.35">
      <c r="A320" s="1">
        <v>5</v>
      </c>
      <c r="B320" s="1">
        <v>98717</v>
      </c>
      <c r="C320" s="1">
        <v>1447.553218</v>
      </c>
    </row>
    <row r="321" spans="1:3" x14ac:dyDescent="0.35">
      <c r="A321" s="1">
        <v>6</v>
      </c>
      <c r="B321" s="1">
        <v>99274</v>
      </c>
      <c r="C321" s="1">
        <v>1895.586571</v>
      </c>
    </row>
    <row r="322" spans="1:3" x14ac:dyDescent="0.35">
      <c r="A322" s="1">
        <v>7</v>
      </c>
      <c r="B322" s="1">
        <v>99200</v>
      </c>
      <c r="C322" s="1">
        <v>1825.055879</v>
      </c>
    </row>
    <row r="323" spans="1:3" x14ac:dyDescent="0.35">
      <c r="A323" s="1">
        <v>8</v>
      </c>
      <c r="B323" s="1">
        <v>97318</v>
      </c>
      <c r="C323" s="1">
        <v>1451.8955060000001</v>
      </c>
    </row>
    <row r="324" spans="1:3" x14ac:dyDescent="0.35">
      <c r="A324" s="1">
        <v>9</v>
      </c>
      <c r="B324" s="1">
        <v>100584</v>
      </c>
      <c r="C324" s="1">
        <v>1629.854548</v>
      </c>
    </row>
    <row r="325" spans="1:3" x14ac:dyDescent="0.35">
      <c r="A325" s="1">
        <v>10</v>
      </c>
      <c r="B325" s="1">
        <v>98856</v>
      </c>
      <c r="C325" s="1">
        <v>2054.4335080000001</v>
      </c>
    </row>
    <row r="326" spans="1:3" x14ac:dyDescent="0.35">
      <c r="A326" s="1">
        <v>11</v>
      </c>
      <c r="B326" s="1">
        <v>94441</v>
      </c>
      <c r="C326" s="1">
        <v>2854.2319889999999</v>
      </c>
    </row>
    <row r="327" spans="1:3" x14ac:dyDescent="0.35">
      <c r="A327" s="1">
        <v>12</v>
      </c>
      <c r="B327" s="1">
        <v>97548</v>
      </c>
      <c r="C327" s="1">
        <v>1856.30645</v>
      </c>
    </row>
    <row r="328" spans="1:3" x14ac:dyDescent="0.35">
      <c r="A328" s="1">
        <v>13</v>
      </c>
      <c r="B328" s="1">
        <v>100977</v>
      </c>
      <c r="C328" s="1">
        <v>2470.714324</v>
      </c>
    </row>
    <row r="329" spans="1:3" x14ac:dyDescent="0.35">
      <c r="A329" s="1">
        <v>14</v>
      </c>
      <c r="B329" s="1">
        <v>98717</v>
      </c>
      <c r="C329" s="1">
        <v>1463.5107660000001</v>
      </c>
    </row>
    <row r="330" spans="1:3" x14ac:dyDescent="0.35">
      <c r="A330" s="1">
        <v>15</v>
      </c>
      <c r="B330" s="1">
        <v>99993</v>
      </c>
      <c r="C330" s="1">
        <v>1738.357986</v>
      </c>
    </row>
    <row r="331" spans="1:3" x14ac:dyDescent="0.35">
      <c r="A331" s="1">
        <v>16</v>
      </c>
      <c r="B331" s="1">
        <v>97691</v>
      </c>
      <c r="C331" s="1">
        <v>1509.177643</v>
      </c>
    </row>
    <row r="332" spans="1:3" x14ac:dyDescent="0.35">
      <c r="A332" s="1">
        <v>17</v>
      </c>
      <c r="B332" s="1">
        <v>98573</v>
      </c>
      <c r="C332" s="1">
        <v>1559.1370509999999</v>
      </c>
    </row>
    <row r="333" spans="1:3" x14ac:dyDescent="0.35">
      <c r="A333" s="1">
        <v>18</v>
      </c>
      <c r="B333" s="1">
        <v>99319</v>
      </c>
      <c r="C333" s="1">
        <v>1790.038898</v>
      </c>
    </row>
    <row r="334" spans="1:3" x14ac:dyDescent="0.35">
      <c r="A334" s="1">
        <v>19</v>
      </c>
      <c r="B334" s="1">
        <v>98859</v>
      </c>
      <c r="C334" s="1">
        <v>1460.8676379999999</v>
      </c>
    </row>
    <row r="335" spans="1:3" x14ac:dyDescent="0.35">
      <c r="A335" s="1">
        <v>20</v>
      </c>
      <c r="B335" s="1">
        <v>98758</v>
      </c>
      <c r="C335" s="1">
        <v>1446.8467920000001</v>
      </c>
    </row>
    <row r="336" spans="1:3" x14ac:dyDescent="0.35">
      <c r="A336" s="1" t="s">
        <v>4</v>
      </c>
      <c r="B336" s="2">
        <f>AVERAGE(B316:B335)</f>
        <v>98667.45</v>
      </c>
      <c r="C336" s="2">
        <f>AVERAGE(C316:C335)</f>
        <v>1759.0644486999997</v>
      </c>
    </row>
    <row r="338" spans="1:3" ht="21" x14ac:dyDescent="0.5">
      <c r="A338" s="4" t="s">
        <v>18</v>
      </c>
      <c r="B338" s="4"/>
      <c r="C338" s="4"/>
    </row>
    <row r="339" spans="1:3" x14ac:dyDescent="0.35">
      <c r="A339" s="1" t="s">
        <v>1</v>
      </c>
      <c r="B339" s="1" t="s">
        <v>2</v>
      </c>
      <c r="C339" s="1" t="s">
        <v>3</v>
      </c>
    </row>
    <row r="340" spans="1:3" x14ac:dyDescent="0.35">
      <c r="A340" s="1">
        <v>1</v>
      </c>
      <c r="B340" s="1">
        <v>874</v>
      </c>
      <c r="C340" s="1">
        <v>231.673618</v>
      </c>
    </row>
    <row r="341" spans="1:3" x14ac:dyDescent="0.35">
      <c r="A341" s="1">
        <v>2</v>
      </c>
      <c r="B341" s="1">
        <v>878</v>
      </c>
      <c r="C341" s="1">
        <v>324.89130899999998</v>
      </c>
    </row>
    <row r="342" spans="1:3" x14ac:dyDescent="0.35">
      <c r="A342" s="1">
        <v>3</v>
      </c>
      <c r="B342" s="1">
        <v>866</v>
      </c>
      <c r="C342" s="1">
        <v>248.96805699999999</v>
      </c>
    </row>
    <row r="343" spans="1:3" x14ac:dyDescent="0.35">
      <c r="A343" s="1">
        <v>4</v>
      </c>
      <c r="B343" s="1">
        <v>889</v>
      </c>
      <c r="C343" s="1">
        <v>350.45351099999999</v>
      </c>
    </row>
    <row r="344" spans="1:3" x14ac:dyDescent="0.35">
      <c r="A344" s="1">
        <v>5</v>
      </c>
      <c r="B344" s="1">
        <v>893</v>
      </c>
      <c r="C344" s="1">
        <v>337.09117099999997</v>
      </c>
    </row>
    <row r="345" spans="1:3" x14ac:dyDescent="0.35">
      <c r="A345" s="1">
        <v>6</v>
      </c>
      <c r="B345" s="1">
        <v>895</v>
      </c>
      <c r="C345" s="1">
        <v>295.02166899999997</v>
      </c>
    </row>
    <row r="346" spans="1:3" x14ac:dyDescent="0.35">
      <c r="A346" s="1">
        <v>7</v>
      </c>
      <c r="B346" s="1">
        <v>847</v>
      </c>
      <c r="C346" s="1">
        <v>297.58243800000002</v>
      </c>
    </row>
    <row r="347" spans="1:3" x14ac:dyDescent="0.35">
      <c r="A347" s="1">
        <v>8</v>
      </c>
      <c r="B347" s="1">
        <v>886</v>
      </c>
      <c r="C347" s="1">
        <v>323.74309</v>
      </c>
    </row>
    <row r="348" spans="1:3" x14ac:dyDescent="0.35">
      <c r="A348" s="1">
        <v>9</v>
      </c>
      <c r="B348" s="1">
        <v>893</v>
      </c>
      <c r="C348" s="1">
        <v>340.94764700000002</v>
      </c>
    </row>
    <row r="349" spans="1:3" x14ac:dyDescent="0.35">
      <c r="A349" s="1">
        <v>10</v>
      </c>
      <c r="B349" s="1">
        <v>888</v>
      </c>
      <c r="C349" s="1">
        <v>242.91387700000001</v>
      </c>
    </row>
    <row r="350" spans="1:3" x14ac:dyDescent="0.35">
      <c r="A350" s="1">
        <v>11</v>
      </c>
      <c r="B350" s="1">
        <v>880</v>
      </c>
      <c r="C350" s="1">
        <v>365.13045399999999</v>
      </c>
    </row>
    <row r="351" spans="1:3" x14ac:dyDescent="0.35">
      <c r="A351" s="1">
        <v>12</v>
      </c>
      <c r="B351" s="1">
        <v>861</v>
      </c>
      <c r="C351" s="1">
        <v>260.60431</v>
      </c>
    </row>
    <row r="352" spans="1:3" x14ac:dyDescent="0.35">
      <c r="A352" s="1">
        <v>13</v>
      </c>
      <c r="B352" s="1">
        <v>886</v>
      </c>
      <c r="C352" s="1">
        <v>234.204609</v>
      </c>
    </row>
    <row r="353" spans="1:3" x14ac:dyDescent="0.35">
      <c r="A353" s="1">
        <v>14</v>
      </c>
      <c r="B353" s="1">
        <v>861</v>
      </c>
      <c r="C353" s="1">
        <v>289.52780799999999</v>
      </c>
    </row>
    <row r="354" spans="1:3" x14ac:dyDescent="0.35">
      <c r="A354" s="1">
        <v>15</v>
      </c>
      <c r="B354" s="1">
        <v>861</v>
      </c>
      <c r="C354" s="1">
        <v>320.31877300000002</v>
      </c>
    </row>
    <row r="355" spans="1:3" x14ac:dyDescent="0.35">
      <c r="A355" s="1">
        <v>16</v>
      </c>
      <c r="B355" s="1">
        <v>889</v>
      </c>
      <c r="C355" s="1">
        <v>335.34211800000003</v>
      </c>
    </row>
    <row r="356" spans="1:3" x14ac:dyDescent="0.35">
      <c r="A356" s="1">
        <v>17</v>
      </c>
      <c r="B356" s="1">
        <v>882</v>
      </c>
      <c r="C356" s="1">
        <v>255.37660600000001</v>
      </c>
    </row>
    <row r="357" spans="1:3" x14ac:dyDescent="0.35">
      <c r="A357" s="1">
        <v>18</v>
      </c>
      <c r="B357" s="1">
        <v>879</v>
      </c>
      <c r="C357" s="1">
        <v>342.12064600000002</v>
      </c>
    </row>
    <row r="358" spans="1:3" x14ac:dyDescent="0.35">
      <c r="A358" s="1">
        <v>19</v>
      </c>
      <c r="B358" s="1">
        <v>878</v>
      </c>
      <c r="C358" s="1">
        <v>257.98542800000001</v>
      </c>
    </row>
    <row r="359" spans="1:3" x14ac:dyDescent="0.35">
      <c r="A359" s="1">
        <v>20</v>
      </c>
      <c r="B359" s="1">
        <v>857</v>
      </c>
      <c r="C359" s="1">
        <v>360.19612799999999</v>
      </c>
    </row>
    <row r="360" spans="1:3" x14ac:dyDescent="0.35">
      <c r="A360" s="1" t="s">
        <v>4</v>
      </c>
      <c r="B360" s="2">
        <f>AVERAGE(B340:B359)</f>
        <v>877.15</v>
      </c>
      <c r="C360" s="2">
        <f>AVERAGE(C340:C359)</f>
        <v>300.70466334999998</v>
      </c>
    </row>
    <row r="362" spans="1:3" ht="21" x14ac:dyDescent="0.5">
      <c r="A362" s="4" t="s">
        <v>19</v>
      </c>
      <c r="B362" s="4"/>
      <c r="C362" s="4"/>
    </row>
    <row r="363" spans="1:3" x14ac:dyDescent="0.35">
      <c r="A363" s="1" t="s">
        <v>1</v>
      </c>
      <c r="B363" s="1" t="s">
        <v>2</v>
      </c>
      <c r="C363" s="1" t="s">
        <v>3</v>
      </c>
    </row>
    <row r="364" spans="1:3" x14ac:dyDescent="0.35">
      <c r="A364" s="1">
        <v>1</v>
      </c>
      <c r="B364" s="1">
        <v>739</v>
      </c>
      <c r="C364" s="1">
        <v>35.320442</v>
      </c>
    </row>
    <row r="365" spans="1:3" x14ac:dyDescent="0.35">
      <c r="A365" s="1">
        <v>2</v>
      </c>
      <c r="B365" s="1">
        <v>746</v>
      </c>
      <c r="C365" s="1">
        <v>21.974727000000001</v>
      </c>
    </row>
    <row r="366" spans="1:3" x14ac:dyDescent="0.35">
      <c r="A366" s="1">
        <v>3</v>
      </c>
      <c r="B366" s="1">
        <v>737</v>
      </c>
      <c r="C366" s="1">
        <v>37.302636999999997</v>
      </c>
    </row>
    <row r="367" spans="1:3" x14ac:dyDescent="0.35">
      <c r="A367" s="1">
        <v>4</v>
      </c>
      <c r="B367" s="1">
        <v>769</v>
      </c>
      <c r="C367" s="1">
        <v>28.267852000000001</v>
      </c>
    </row>
    <row r="368" spans="1:3" x14ac:dyDescent="0.35">
      <c r="A368" s="1">
        <v>5</v>
      </c>
      <c r="B368" s="1">
        <v>768</v>
      </c>
      <c r="C368" s="1">
        <v>20.899215999999999</v>
      </c>
    </row>
    <row r="369" spans="1:3" x14ac:dyDescent="0.35">
      <c r="A369" s="1">
        <v>6</v>
      </c>
      <c r="B369" s="1">
        <v>735</v>
      </c>
      <c r="C369" s="1">
        <v>31.703464</v>
      </c>
    </row>
    <row r="370" spans="1:3" x14ac:dyDescent="0.35">
      <c r="A370" s="1">
        <v>7</v>
      </c>
      <c r="B370" s="1">
        <v>732</v>
      </c>
      <c r="C370" s="1">
        <v>24.946784999999998</v>
      </c>
    </row>
    <row r="371" spans="1:3" x14ac:dyDescent="0.35">
      <c r="A371" s="1">
        <v>8</v>
      </c>
      <c r="B371" s="1">
        <v>752</v>
      </c>
      <c r="C371" s="1">
        <v>26.861035000000001</v>
      </c>
    </row>
    <row r="372" spans="1:3" x14ac:dyDescent="0.35">
      <c r="A372" s="1">
        <v>9</v>
      </c>
      <c r="B372" s="1">
        <v>732</v>
      </c>
      <c r="C372" s="1">
        <v>30.640011999999999</v>
      </c>
    </row>
    <row r="373" spans="1:3" x14ac:dyDescent="0.35">
      <c r="A373" s="1">
        <v>10</v>
      </c>
      <c r="B373" s="1">
        <v>724</v>
      </c>
      <c r="C373" s="1">
        <v>32.215496000000002</v>
      </c>
    </row>
    <row r="374" spans="1:3" x14ac:dyDescent="0.35">
      <c r="A374" s="1">
        <v>11</v>
      </c>
      <c r="B374" s="1">
        <v>746</v>
      </c>
      <c r="C374" s="1">
        <v>29.426946999999998</v>
      </c>
    </row>
    <row r="375" spans="1:3" x14ac:dyDescent="0.35">
      <c r="A375" s="1">
        <v>12</v>
      </c>
      <c r="B375" s="1">
        <v>735</v>
      </c>
      <c r="C375" s="1">
        <v>23.344258</v>
      </c>
    </row>
    <row r="376" spans="1:3" x14ac:dyDescent="0.35">
      <c r="A376" s="1">
        <v>13</v>
      </c>
      <c r="B376" s="1">
        <v>749</v>
      </c>
      <c r="C376" s="1">
        <v>23.771616000000002</v>
      </c>
    </row>
    <row r="377" spans="1:3" x14ac:dyDescent="0.35">
      <c r="A377" s="1">
        <v>14</v>
      </c>
      <c r="B377" s="1">
        <v>736</v>
      </c>
      <c r="C377" s="1">
        <v>43.598503000000001</v>
      </c>
    </row>
    <row r="378" spans="1:3" x14ac:dyDescent="0.35">
      <c r="A378" s="1">
        <v>15</v>
      </c>
      <c r="B378" s="1">
        <v>752</v>
      </c>
      <c r="C378" s="1">
        <v>23.216761999999999</v>
      </c>
    </row>
    <row r="379" spans="1:3" x14ac:dyDescent="0.35">
      <c r="A379" s="1">
        <v>16</v>
      </c>
      <c r="B379" s="1">
        <v>748</v>
      </c>
      <c r="C379" s="1">
        <v>36.074438000000001</v>
      </c>
    </row>
    <row r="380" spans="1:3" x14ac:dyDescent="0.35">
      <c r="A380" s="1">
        <v>17</v>
      </c>
      <c r="B380" s="1">
        <v>727</v>
      </c>
      <c r="C380" s="1">
        <v>38.284505000000003</v>
      </c>
    </row>
    <row r="381" spans="1:3" x14ac:dyDescent="0.35">
      <c r="A381" s="1">
        <v>18</v>
      </c>
      <c r="B381" s="1">
        <v>753</v>
      </c>
      <c r="C381" s="1">
        <v>40.560496000000001</v>
      </c>
    </row>
    <row r="382" spans="1:3" x14ac:dyDescent="0.35">
      <c r="A382" s="1">
        <v>19</v>
      </c>
      <c r="B382" s="1">
        <v>732</v>
      </c>
      <c r="C382" s="1">
        <v>30.955027000000001</v>
      </c>
    </row>
    <row r="383" spans="1:3" x14ac:dyDescent="0.35">
      <c r="A383" s="1">
        <v>20</v>
      </c>
      <c r="B383" s="1">
        <v>752</v>
      </c>
      <c r="C383" s="1">
        <v>23.921586999999999</v>
      </c>
    </row>
    <row r="384" spans="1:3" x14ac:dyDescent="0.35">
      <c r="A384" s="1" t="s">
        <v>4</v>
      </c>
      <c r="B384" s="2">
        <f>AVERAGE(B364:B383)</f>
        <v>743.2</v>
      </c>
      <c r="C384" s="2">
        <f>AVERAGE(C364:C383)</f>
        <v>30.164290250000001</v>
      </c>
    </row>
    <row r="386" spans="1:3" ht="21" x14ac:dyDescent="0.5">
      <c r="A386" s="4" t="s">
        <v>20</v>
      </c>
      <c r="B386" s="4"/>
      <c r="C386" s="4"/>
    </row>
    <row r="387" spans="1:3" x14ac:dyDescent="0.35">
      <c r="A387" s="1" t="s">
        <v>1</v>
      </c>
      <c r="B387" s="1" t="s">
        <v>2</v>
      </c>
      <c r="C387" s="1" t="s">
        <v>3</v>
      </c>
    </row>
    <row r="388" spans="1:3" x14ac:dyDescent="0.35">
      <c r="A388" s="1">
        <v>1</v>
      </c>
      <c r="B388" s="1">
        <v>52535</v>
      </c>
      <c r="C388" s="1">
        <v>480.59416599999997</v>
      </c>
    </row>
    <row r="389" spans="1:3" x14ac:dyDescent="0.35">
      <c r="A389" s="1">
        <v>2</v>
      </c>
      <c r="B389" s="1">
        <v>55547</v>
      </c>
      <c r="C389" s="1">
        <v>435.92814199999998</v>
      </c>
    </row>
    <row r="390" spans="1:3" x14ac:dyDescent="0.35">
      <c r="A390" s="1">
        <v>3</v>
      </c>
      <c r="B390" s="1">
        <v>53713</v>
      </c>
      <c r="C390" s="1">
        <v>524.28603299999997</v>
      </c>
    </row>
    <row r="391" spans="1:3" x14ac:dyDescent="0.35">
      <c r="A391" s="1">
        <v>4</v>
      </c>
      <c r="B391" s="1">
        <v>53220</v>
      </c>
      <c r="C391" s="1">
        <v>506.320986</v>
      </c>
    </row>
    <row r="392" spans="1:3" x14ac:dyDescent="0.35">
      <c r="A392" s="1">
        <v>5</v>
      </c>
      <c r="B392" s="1">
        <v>53674</v>
      </c>
      <c r="C392" s="1">
        <v>425.21495099999999</v>
      </c>
    </row>
    <row r="393" spans="1:3" x14ac:dyDescent="0.35">
      <c r="A393" s="1">
        <v>6</v>
      </c>
      <c r="B393" s="1">
        <v>50066</v>
      </c>
      <c r="C393" s="1">
        <v>462.52814100000001</v>
      </c>
    </row>
    <row r="394" spans="1:3" x14ac:dyDescent="0.35">
      <c r="A394" s="1">
        <v>7</v>
      </c>
      <c r="B394" s="1">
        <v>53248</v>
      </c>
      <c r="C394" s="1">
        <v>449.14449400000001</v>
      </c>
    </row>
    <row r="395" spans="1:3" x14ac:dyDescent="0.35">
      <c r="A395" s="1">
        <v>8</v>
      </c>
      <c r="B395" s="1">
        <v>52626</v>
      </c>
      <c r="C395" s="1">
        <v>451.79697900000002</v>
      </c>
    </row>
    <row r="396" spans="1:3" x14ac:dyDescent="0.35">
      <c r="A396" s="1">
        <v>9</v>
      </c>
      <c r="B396" s="1">
        <v>53191</v>
      </c>
      <c r="C396" s="1">
        <v>454.86095399999999</v>
      </c>
    </row>
    <row r="397" spans="1:3" x14ac:dyDescent="0.35">
      <c r="A397" s="1">
        <v>10</v>
      </c>
      <c r="B397" s="1">
        <v>53060</v>
      </c>
      <c r="C397" s="1">
        <v>581.75301000000002</v>
      </c>
    </row>
    <row r="398" spans="1:3" x14ac:dyDescent="0.35">
      <c r="A398" s="1">
        <v>11</v>
      </c>
      <c r="B398" s="1">
        <v>53469</v>
      </c>
      <c r="C398" s="1">
        <v>480.62652400000002</v>
      </c>
    </row>
    <row r="399" spans="1:3" x14ac:dyDescent="0.35">
      <c r="A399" s="1">
        <v>12</v>
      </c>
      <c r="B399" s="1">
        <v>54289</v>
      </c>
      <c r="C399" s="1">
        <v>548.75795700000003</v>
      </c>
    </row>
    <row r="400" spans="1:3" x14ac:dyDescent="0.35">
      <c r="A400" s="1">
        <v>13</v>
      </c>
      <c r="B400" s="1">
        <v>53331</v>
      </c>
      <c r="C400" s="1">
        <v>503.51346799999999</v>
      </c>
    </row>
    <row r="401" spans="1:3" x14ac:dyDescent="0.35">
      <c r="A401" s="1">
        <v>14</v>
      </c>
      <c r="B401" s="1">
        <v>53446</v>
      </c>
      <c r="C401" s="1">
        <v>425.25127800000001</v>
      </c>
    </row>
    <row r="402" spans="1:3" x14ac:dyDescent="0.35">
      <c r="A402" s="1">
        <v>15</v>
      </c>
      <c r="B402" s="1">
        <v>53633</v>
      </c>
      <c r="C402" s="1">
        <v>474.866714</v>
      </c>
    </row>
    <row r="403" spans="1:3" x14ac:dyDescent="0.35">
      <c r="A403" s="1">
        <v>16</v>
      </c>
      <c r="B403" s="1">
        <v>53651</v>
      </c>
      <c r="C403" s="1">
        <v>410.61658</v>
      </c>
    </row>
    <row r="404" spans="1:3" x14ac:dyDescent="0.35">
      <c r="A404" s="1">
        <v>17</v>
      </c>
      <c r="B404" s="1">
        <v>51701</v>
      </c>
      <c r="C404" s="1">
        <v>482.56319100000002</v>
      </c>
    </row>
    <row r="405" spans="1:3" x14ac:dyDescent="0.35">
      <c r="A405" s="1">
        <v>18</v>
      </c>
      <c r="B405" s="1">
        <v>52885</v>
      </c>
      <c r="C405" s="1">
        <v>516.89363500000002</v>
      </c>
    </row>
    <row r="406" spans="1:3" x14ac:dyDescent="0.35">
      <c r="A406" s="1">
        <v>19</v>
      </c>
      <c r="B406" s="1">
        <v>54030</v>
      </c>
      <c r="C406" s="1">
        <v>522.52951499999995</v>
      </c>
    </row>
    <row r="407" spans="1:3" x14ac:dyDescent="0.35">
      <c r="A407" s="1">
        <v>20</v>
      </c>
      <c r="B407" s="1">
        <v>53631</v>
      </c>
      <c r="C407" s="1">
        <v>617.60356400000001</v>
      </c>
    </row>
    <row r="408" spans="1:3" x14ac:dyDescent="0.35">
      <c r="A408" s="1" t="s">
        <v>4</v>
      </c>
      <c r="B408" s="2">
        <f>AVERAGE(B388:B407)</f>
        <v>53247.3</v>
      </c>
      <c r="C408" s="2">
        <f>AVERAGE(C388:C407)</f>
        <v>487.78251410000013</v>
      </c>
    </row>
    <row r="410" spans="1:3" ht="21" x14ac:dyDescent="0.5">
      <c r="A410" s="4" t="s">
        <v>21</v>
      </c>
      <c r="B410" s="4"/>
      <c r="C410" s="4"/>
    </row>
    <row r="411" spans="1:3" x14ac:dyDescent="0.35">
      <c r="A411" s="1" t="s">
        <v>1</v>
      </c>
      <c r="B411" s="1" t="s">
        <v>2</v>
      </c>
      <c r="C411" s="1" t="s">
        <v>3</v>
      </c>
    </row>
    <row r="412" spans="1:3" x14ac:dyDescent="0.35">
      <c r="A412" s="1">
        <v>1</v>
      </c>
      <c r="B412" s="1">
        <v>35659</v>
      </c>
      <c r="C412" s="1">
        <v>8.3590210000000003</v>
      </c>
    </row>
    <row r="413" spans="1:3" x14ac:dyDescent="0.35">
      <c r="A413" s="1">
        <v>2</v>
      </c>
      <c r="B413" s="1">
        <v>33587</v>
      </c>
      <c r="C413" s="1">
        <v>10.419530999999999</v>
      </c>
    </row>
    <row r="414" spans="1:3" x14ac:dyDescent="0.35">
      <c r="A414" s="1">
        <v>3</v>
      </c>
      <c r="B414" s="1">
        <v>33587</v>
      </c>
      <c r="C414" s="1">
        <v>15.340191000000001</v>
      </c>
    </row>
    <row r="415" spans="1:3" x14ac:dyDescent="0.35">
      <c r="A415" s="1">
        <v>4</v>
      </c>
      <c r="B415" s="1">
        <v>33831</v>
      </c>
      <c r="C415" s="1">
        <v>14.662770999999999</v>
      </c>
    </row>
    <row r="416" spans="1:3" x14ac:dyDescent="0.35">
      <c r="A416" s="1">
        <v>5</v>
      </c>
      <c r="B416" s="1">
        <v>33623</v>
      </c>
      <c r="C416" s="1">
        <v>10.629121</v>
      </c>
    </row>
    <row r="417" spans="1:3" x14ac:dyDescent="0.35">
      <c r="A417" s="1">
        <v>6</v>
      </c>
      <c r="B417" s="1">
        <v>34571</v>
      </c>
      <c r="C417" s="1">
        <v>13.296450999999999</v>
      </c>
    </row>
    <row r="418" spans="1:3" x14ac:dyDescent="0.35">
      <c r="A418" s="1">
        <v>7</v>
      </c>
      <c r="B418" s="1">
        <v>34111</v>
      </c>
      <c r="C418" s="1">
        <v>15.627337000000001</v>
      </c>
    </row>
    <row r="419" spans="1:3" x14ac:dyDescent="0.35">
      <c r="A419" s="1">
        <v>8</v>
      </c>
      <c r="B419" s="1">
        <v>34799</v>
      </c>
      <c r="C419" s="1">
        <v>9.1173070000000003</v>
      </c>
    </row>
    <row r="420" spans="1:3" x14ac:dyDescent="0.35">
      <c r="A420" s="1">
        <v>9</v>
      </c>
      <c r="B420" s="1">
        <v>33522</v>
      </c>
      <c r="C420" s="1">
        <v>15.470689</v>
      </c>
    </row>
    <row r="421" spans="1:3" x14ac:dyDescent="0.35">
      <c r="A421" s="1">
        <v>10</v>
      </c>
      <c r="B421" s="1">
        <v>34084</v>
      </c>
      <c r="C421" s="1">
        <v>8.8030720000000002</v>
      </c>
    </row>
    <row r="422" spans="1:3" x14ac:dyDescent="0.35">
      <c r="A422" s="1">
        <v>11</v>
      </c>
      <c r="B422" s="1">
        <v>34106</v>
      </c>
      <c r="C422" s="1">
        <v>14.096393000000001</v>
      </c>
    </row>
    <row r="423" spans="1:3" x14ac:dyDescent="0.35">
      <c r="A423" s="1">
        <v>12</v>
      </c>
      <c r="B423" s="1">
        <v>33587</v>
      </c>
      <c r="C423" s="1">
        <v>13.840832000000001</v>
      </c>
    </row>
    <row r="424" spans="1:3" x14ac:dyDescent="0.35">
      <c r="A424" s="1">
        <v>13</v>
      </c>
      <c r="B424" s="1">
        <v>35113</v>
      </c>
      <c r="C424" s="1">
        <v>6.6831690000000004</v>
      </c>
    </row>
    <row r="425" spans="1:3" x14ac:dyDescent="0.35">
      <c r="A425" s="1">
        <v>14</v>
      </c>
      <c r="B425" s="1">
        <v>34171</v>
      </c>
      <c r="C425" s="1">
        <v>13.769569000000001</v>
      </c>
    </row>
    <row r="426" spans="1:3" x14ac:dyDescent="0.35">
      <c r="A426" s="1">
        <v>15</v>
      </c>
      <c r="B426" s="1">
        <v>33587</v>
      </c>
      <c r="C426" s="1">
        <v>9.6963200000000001</v>
      </c>
    </row>
    <row r="427" spans="1:3" x14ac:dyDescent="0.35">
      <c r="A427" s="1">
        <v>16</v>
      </c>
      <c r="B427" s="1">
        <v>34282</v>
      </c>
      <c r="C427" s="1">
        <v>12.377031000000001</v>
      </c>
    </row>
    <row r="428" spans="1:3" x14ac:dyDescent="0.35">
      <c r="A428" s="1">
        <v>17</v>
      </c>
      <c r="B428" s="1">
        <v>34509</v>
      </c>
      <c r="C428" s="1">
        <v>6.4680470000000003</v>
      </c>
    </row>
    <row r="429" spans="1:3" x14ac:dyDescent="0.35">
      <c r="A429" s="1">
        <v>18</v>
      </c>
      <c r="B429" s="1">
        <v>33722</v>
      </c>
      <c r="C429" s="1">
        <v>11.213761999999999</v>
      </c>
    </row>
    <row r="430" spans="1:3" x14ac:dyDescent="0.35">
      <c r="A430" s="1">
        <v>19</v>
      </c>
      <c r="B430" s="1">
        <v>35259</v>
      </c>
      <c r="C430" s="1">
        <v>14.619501</v>
      </c>
    </row>
    <row r="431" spans="1:3" x14ac:dyDescent="0.35">
      <c r="A431" s="1">
        <v>20</v>
      </c>
      <c r="B431" s="1">
        <v>34521</v>
      </c>
      <c r="C431" s="1">
        <v>13.166937000000001</v>
      </c>
    </row>
    <row r="432" spans="1:3" x14ac:dyDescent="0.35">
      <c r="A432" s="1" t="s">
        <v>4</v>
      </c>
      <c r="B432" s="2">
        <f>AVERAGE(B412:B431)</f>
        <v>34211.550000000003</v>
      </c>
      <c r="C432" s="2">
        <f>AVERAGE(C412:C431)</f>
        <v>11.882852599999996</v>
      </c>
    </row>
    <row r="434" spans="1:3" ht="21" x14ac:dyDescent="0.5">
      <c r="A434" s="4" t="s">
        <v>22</v>
      </c>
      <c r="B434" s="4"/>
      <c r="C434" s="4"/>
    </row>
    <row r="435" spans="1:3" x14ac:dyDescent="0.35">
      <c r="A435" s="1" t="s">
        <v>1</v>
      </c>
      <c r="B435" s="1" t="s">
        <v>2</v>
      </c>
      <c r="C435" s="1" t="s">
        <v>3</v>
      </c>
    </row>
    <row r="436" spans="1:3" x14ac:dyDescent="0.35">
      <c r="A436" s="1">
        <v>1</v>
      </c>
      <c r="B436" s="1">
        <v>63000</v>
      </c>
      <c r="C436" s="1">
        <v>63.187761999999999</v>
      </c>
    </row>
    <row r="437" spans="1:3" x14ac:dyDescent="0.35">
      <c r="A437" s="1">
        <v>2</v>
      </c>
      <c r="B437" s="1">
        <v>60801</v>
      </c>
      <c r="C437" s="1">
        <v>90.144436999999996</v>
      </c>
    </row>
    <row r="438" spans="1:3" x14ac:dyDescent="0.35">
      <c r="A438" s="1">
        <v>3</v>
      </c>
      <c r="B438" s="1">
        <v>64594</v>
      </c>
      <c r="C438" s="1">
        <v>93.848034999999996</v>
      </c>
    </row>
    <row r="439" spans="1:3" x14ac:dyDescent="0.35">
      <c r="A439" s="1">
        <v>4</v>
      </c>
      <c r="B439" s="1">
        <v>63936</v>
      </c>
      <c r="C439" s="1">
        <v>103.901523</v>
      </c>
    </row>
    <row r="440" spans="1:3" x14ac:dyDescent="0.35">
      <c r="A440" s="1">
        <v>5</v>
      </c>
      <c r="B440" s="1">
        <v>61645</v>
      </c>
      <c r="C440" s="1">
        <v>97.819086999999996</v>
      </c>
    </row>
    <row r="441" spans="1:3" x14ac:dyDescent="0.35">
      <c r="A441" s="1">
        <v>6</v>
      </c>
      <c r="B441" s="1">
        <v>63161</v>
      </c>
      <c r="C441" s="1">
        <v>82.394952000000004</v>
      </c>
    </row>
    <row r="442" spans="1:3" x14ac:dyDescent="0.35">
      <c r="A442" s="1">
        <v>7</v>
      </c>
      <c r="B442" s="1">
        <v>64124</v>
      </c>
      <c r="C442" s="1">
        <v>84.170616999999993</v>
      </c>
    </row>
    <row r="443" spans="1:3" x14ac:dyDescent="0.35">
      <c r="A443" s="1">
        <v>8</v>
      </c>
      <c r="B443" s="1">
        <v>63004</v>
      </c>
      <c r="C443" s="1">
        <v>92.609648000000007</v>
      </c>
    </row>
    <row r="444" spans="1:3" x14ac:dyDescent="0.35">
      <c r="A444" s="1">
        <v>9</v>
      </c>
      <c r="B444" s="1">
        <v>65105</v>
      </c>
      <c r="C444" s="1">
        <v>93.106710000000007</v>
      </c>
    </row>
    <row r="445" spans="1:3" x14ac:dyDescent="0.35">
      <c r="A445" s="1">
        <v>10</v>
      </c>
      <c r="B445" s="1">
        <v>62327</v>
      </c>
      <c r="C445" s="1">
        <v>71.908557999999999</v>
      </c>
    </row>
    <row r="446" spans="1:3" x14ac:dyDescent="0.35">
      <c r="A446" s="1">
        <v>11</v>
      </c>
      <c r="B446" s="1">
        <v>62454</v>
      </c>
      <c r="C446" s="1">
        <v>109.75322</v>
      </c>
    </row>
    <row r="447" spans="1:3" x14ac:dyDescent="0.35">
      <c r="A447" s="1">
        <v>12</v>
      </c>
      <c r="B447" s="1">
        <v>64854</v>
      </c>
      <c r="C447" s="1">
        <v>84.425396000000006</v>
      </c>
    </row>
    <row r="448" spans="1:3" x14ac:dyDescent="0.35">
      <c r="A448" s="1">
        <v>13</v>
      </c>
      <c r="B448" s="1">
        <v>63499</v>
      </c>
      <c r="C448" s="1">
        <v>104.061606</v>
      </c>
    </row>
    <row r="449" spans="1:3" x14ac:dyDescent="0.35">
      <c r="A449" s="1">
        <v>14</v>
      </c>
      <c r="B449" s="1">
        <v>63597</v>
      </c>
      <c r="C449" s="1">
        <v>102.429214</v>
      </c>
    </row>
    <row r="450" spans="1:3" x14ac:dyDescent="0.35">
      <c r="A450" s="1">
        <v>15</v>
      </c>
      <c r="B450" s="1">
        <v>61501</v>
      </c>
      <c r="C450" s="1">
        <v>94.357477000000003</v>
      </c>
    </row>
    <row r="451" spans="1:3" x14ac:dyDescent="0.35">
      <c r="A451" s="1">
        <v>16</v>
      </c>
      <c r="B451" s="1">
        <v>63316</v>
      </c>
      <c r="C451" s="1">
        <v>78.330053000000007</v>
      </c>
    </row>
    <row r="452" spans="1:3" x14ac:dyDescent="0.35">
      <c r="A452" s="1">
        <v>17</v>
      </c>
      <c r="B452" s="1">
        <v>65049</v>
      </c>
      <c r="C452" s="1">
        <v>75.477985000000004</v>
      </c>
    </row>
    <row r="453" spans="1:3" x14ac:dyDescent="0.35">
      <c r="A453" s="1">
        <v>18</v>
      </c>
      <c r="B453" s="1">
        <v>64048</v>
      </c>
      <c r="C453" s="1">
        <v>104.17476600000001</v>
      </c>
    </row>
    <row r="454" spans="1:3" x14ac:dyDescent="0.35">
      <c r="A454" s="1">
        <v>19</v>
      </c>
      <c r="B454" s="1">
        <v>63813</v>
      </c>
      <c r="C454" s="1">
        <v>92.881282999999996</v>
      </c>
    </row>
    <row r="455" spans="1:3" x14ac:dyDescent="0.35">
      <c r="A455" s="1">
        <v>20</v>
      </c>
      <c r="B455" s="1">
        <v>63149</v>
      </c>
      <c r="C455" s="1">
        <v>69.355750999999998</v>
      </c>
    </row>
    <row r="456" spans="1:3" x14ac:dyDescent="0.35">
      <c r="A456" s="1" t="s">
        <v>4</v>
      </c>
      <c r="B456" s="2">
        <f>AVERAGE(B436:B455)</f>
        <v>63348.85</v>
      </c>
      <c r="C456" s="2">
        <f>AVERAGE(C436:C455)</f>
        <v>89.416904000000002</v>
      </c>
    </row>
    <row r="458" spans="1:3" ht="21" x14ac:dyDescent="0.5">
      <c r="A458" s="4" t="s">
        <v>23</v>
      </c>
      <c r="B458" s="4"/>
      <c r="C458" s="4"/>
    </row>
    <row r="459" spans="1:3" x14ac:dyDescent="0.35">
      <c r="A459" s="1" t="s">
        <v>1</v>
      </c>
      <c r="B459" s="1" t="s">
        <v>2</v>
      </c>
      <c r="C459" s="1" t="s">
        <v>3</v>
      </c>
    </row>
    <row r="460" spans="1:3" x14ac:dyDescent="0.35">
      <c r="A460" s="1">
        <v>1</v>
      </c>
      <c r="B460" s="1">
        <v>1383</v>
      </c>
      <c r="C460" s="1">
        <v>102.391064</v>
      </c>
    </row>
    <row r="461" spans="1:3" x14ac:dyDescent="0.35">
      <c r="A461" s="1">
        <v>2</v>
      </c>
      <c r="B461" s="1">
        <v>1442</v>
      </c>
      <c r="C461" s="1">
        <v>98.216340000000002</v>
      </c>
    </row>
    <row r="462" spans="1:3" x14ac:dyDescent="0.35">
      <c r="A462" s="1">
        <v>3</v>
      </c>
      <c r="B462" s="1">
        <v>1387</v>
      </c>
      <c r="C462" s="1">
        <v>84.798439999999999</v>
      </c>
    </row>
    <row r="463" spans="1:3" x14ac:dyDescent="0.35">
      <c r="A463" s="1">
        <v>4</v>
      </c>
      <c r="B463" s="1">
        <v>1440</v>
      </c>
      <c r="C463" s="1">
        <v>83.139725999999996</v>
      </c>
    </row>
    <row r="464" spans="1:3" x14ac:dyDescent="0.35">
      <c r="A464" s="1">
        <v>5</v>
      </c>
      <c r="B464" s="1">
        <v>1443</v>
      </c>
      <c r="C464" s="1">
        <v>99.140963999999997</v>
      </c>
    </row>
    <row r="465" spans="1:3" x14ac:dyDescent="0.35">
      <c r="A465" s="1">
        <v>6</v>
      </c>
      <c r="B465" s="1">
        <v>1449</v>
      </c>
      <c r="C465" s="1">
        <v>98.274745999999993</v>
      </c>
    </row>
    <row r="466" spans="1:3" x14ac:dyDescent="0.35">
      <c r="A466" s="1">
        <v>7</v>
      </c>
      <c r="B466" s="1">
        <v>1415</v>
      </c>
      <c r="C466" s="1">
        <v>92.534176000000002</v>
      </c>
    </row>
    <row r="467" spans="1:3" x14ac:dyDescent="0.35">
      <c r="A467" s="1">
        <v>8</v>
      </c>
      <c r="B467" s="1">
        <v>1402</v>
      </c>
      <c r="C467" s="1">
        <v>86.954057000000006</v>
      </c>
    </row>
    <row r="468" spans="1:3" x14ac:dyDescent="0.35">
      <c r="A468" s="1">
        <v>9</v>
      </c>
      <c r="B468" s="1">
        <v>1365</v>
      </c>
      <c r="C468" s="1">
        <v>83.410431000000003</v>
      </c>
    </row>
    <row r="469" spans="1:3" x14ac:dyDescent="0.35">
      <c r="A469" s="1">
        <v>10</v>
      </c>
      <c r="B469" s="1">
        <v>1413</v>
      </c>
      <c r="C469" s="1">
        <v>84.040076999999997</v>
      </c>
    </row>
    <row r="470" spans="1:3" x14ac:dyDescent="0.35">
      <c r="A470" s="1">
        <v>11</v>
      </c>
      <c r="B470" s="1">
        <v>1414</v>
      </c>
      <c r="C470" s="1">
        <v>97.677262999999996</v>
      </c>
    </row>
    <row r="471" spans="1:3" x14ac:dyDescent="0.35">
      <c r="A471" s="1">
        <v>12</v>
      </c>
      <c r="B471" s="1">
        <v>1384</v>
      </c>
      <c r="C471" s="1">
        <v>83.711906999999997</v>
      </c>
    </row>
    <row r="472" spans="1:3" x14ac:dyDescent="0.35">
      <c r="A472" s="1">
        <v>13</v>
      </c>
      <c r="B472" s="1">
        <v>1392</v>
      </c>
      <c r="C472" s="1">
        <v>102.74244899999999</v>
      </c>
    </row>
    <row r="473" spans="1:3" x14ac:dyDescent="0.35">
      <c r="A473" s="1">
        <v>14</v>
      </c>
      <c r="B473" s="1">
        <v>1432</v>
      </c>
      <c r="C473" s="1">
        <v>104.954956</v>
      </c>
    </row>
    <row r="474" spans="1:3" x14ac:dyDescent="0.35">
      <c r="A474" s="1">
        <v>15</v>
      </c>
      <c r="B474" s="1">
        <v>1418</v>
      </c>
      <c r="C474" s="1">
        <v>112.830679</v>
      </c>
    </row>
    <row r="475" spans="1:3" x14ac:dyDescent="0.35">
      <c r="A475" s="1">
        <v>16</v>
      </c>
      <c r="B475" s="1">
        <v>1423</v>
      </c>
      <c r="C475" s="1">
        <v>128.68181200000001</v>
      </c>
    </row>
    <row r="476" spans="1:3" x14ac:dyDescent="0.35">
      <c r="A476" s="1">
        <v>17</v>
      </c>
      <c r="B476" s="1">
        <v>1410</v>
      </c>
      <c r="C476" s="1">
        <v>77.386960000000002</v>
      </c>
    </row>
    <row r="477" spans="1:3" x14ac:dyDescent="0.35">
      <c r="A477" s="1">
        <v>18</v>
      </c>
      <c r="B477" s="1">
        <v>1418</v>
      </c>
      <c r="C477" s="1">
        <v>74.042000999999999</v>
      </c>
    </row>
    <row r="478" spans="1:3" x14ac:dyDescent="0.35">
      <c r="A478" s="1">
        <v>19</v>
      </c>
      <c r="B478" s="1">
        <v>1430</v>
      </c>
      <c r="C478" s="1">
        <v>77.34742</v>
      </c>
    </row>
    <row r="479" spans="1:3" x14ac:dyDescent="0.35">
      <c r="A479" s="1">
        <v>20</v>
      </c>
      <c r="B479" s="1">
        <v>1441</v>
      </c>
      <c r="C479" s="1">
        <v>75.742975000000001</v>
      </c>
    </row>
    <row r="480" spans="1:3" x14ac:dyDescent="0.35">
      <c r="A480" s="1" t="s">
        <v>4</v>
      </c>
      <c r="B480" s="2">
        <f>AVERAGE(B460:B479)</f>
        <v>1415.05</v>
      </c>
      <c r="C480" s="2">
        <f>AVERAGE(C460:C479)</f>
        <v>92.400922150000014</v>
      </c>
    </row>
  </sheetData>
  <mergeCells count="22">
    <mergeCell ref="A410:C410"/>
    <mergeCell ref="A434:C434"/>
    <mergeCell ref="A458:C458"/>
    <mergeCell ref="F1:H1"/>
    <mergeCell ref="A266:C266"/>
    <mergeCell ref="A290:C290"/>
    <mergeCell ref="A314:C314"/>
    <mergeCell ref="A338:C338"/>
    <mergeCell ref="A362:C362"/>
    <mergeCell ref="A386:C386"/>
    <mergeCell ref="A122:C122"/>
    <mergeCell ref="A146:C146"/>
    <mergeCell ref="A170:C170"/>
    <mergeCell ref="A194:C194"/>
    <mergeCell ref="A218:C218"/>
    <mergeCell ref="A242:C242"/>
    <mergeCell ref="A98:C98"/>
    <mergeCell ref="A1:C1"/>
    <mergeCell ref="A2:C2"/>
    <mergeCell ref="A26:C26"/>
    <mergeCell ref="A50:C50"/>
    <mergeCell ref="A74:C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223123831 Yousef Alfezaia</dc:creator>
  <cp:lastModifiedBy>Ameer Mohammed - أمير محمد</cp:lastModifiedBy>
  <dcterms:created xsi:type="dcterms:W3CDTF">2026-02-24T11:50:52Z</dcterms:created>
  <dcterms:modified xsi:type="dcterms:W3CDTF">2026-02-28T23:05:47Z</dcterms:modified>
</cp:coreProperties>
</file>